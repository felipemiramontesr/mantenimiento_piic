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dgarhurtadoteran/Desktop/"/>
    </mc:Choice>
  </mc:AlternateContent>
  <xr:revisionPtr revIDLastSave="0" documentId="8_{B494F009-2516-F048-A6CE-2DBBE559615A}" xr6:coauthVersionLast="47" xr6:coauthVersionMax="47" xr10:uidLastSave="{00000000-0000-0000-0000-000000000000}"/>
  <bookViews>
    <workbookView xWindow="-37800" yWindow="-1460" windowWidth="37800" windowHeight="18780" xr2:uid="{C065D951-74F8-B649-8AB1-F0B9149CFED7}"/>
  </bookViews>
  <sheets>
    <sheet name="MP control" sheetId="1" r:id="rId1"/>
    <sheet name="Captura check  list" sheetId="2" r:id="rId2"/>
  </sheets>
  <externalReferences>
    <externalReference r:id="rId3"/>
    <externalReference r:id="rId4"/>
  </externalReferences>
  <definedNames>
    <definedName name="_xlnm._FilterDatabase" localSheetId="1" hidden="1">'Captura check  list'!$BS$34:$BS$57</definedName>
    <definedName name="_xlnm._FilterDatabase" localSheetId="0" hidden="1">'MP control'!$A$8:$V$31</definedName>
    <definedName name="Sistema">[2]Explicación!$B$132:$B$144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U84" i="2" l="1"/>
  <c r="AD84" i="2"/>
  <c r="AF84" i="2" s="1"/>
  <c r="BU83" i="2"/>
  <c r="AD83" i="2"/>
  <c r="AF83" i="2" s="1"/>
  <c r="BU82" i="2"/>
  <c r="AD82" i="2"/>
  <c r="AF82" i="2" s="1"/>
  <c r="BU81" i="2"/>
  <c r="AD81" i="2"/>
  <c r="AF81" i="2" s="1"/>
  <c r="BU80" i="2"/>
  <c r="AD80" i="2"/>
  <c r="AF80" i="2" s="1"/>
  <c r="BU79" i="2"/>
  <c r="AD79" i="2"/>
  <c r="AF79" i="2" s="1"/>
  <c r="BU78" i="2"/>
  <c r="AF78" i="2"/>
  <c r="AD78" i="2"/>
  <c r="BU77" i="2"/>
  <c r="AD77" i="2"/>
  <c r="AF77" i="2" s="1"/>
  <c r="BU76" i="2"/>
  <c r="AD76" i="2"/>
  <c r="AF76" i="2" s="1"/>
  <c r="BU75" i="2"/>
  <c r="AF75" i="2"/>
  <c r="AD75" i="2"/>
  <c r="BU74" i="2"/>
  <c r="AD74" i="2"/>
  <c r="AF74" i="2" s="1"/>
  <c r="BU73" i="2"/>
  <c r="AD73" i="2"/>
  <c r="AF73" i="2" s="1"/>
  <c r="BU72" i="2"/>
  <c r="AD72" i="2"/>
  <c r="AF72" i="2" s="1"/>
  <c r="BU71" i="2"/>
  <c r="AD71" i="2"/>
  <c r="AF71" i="2" s="1"/>
  <c r="BU70" i="2"/>
  <c r="AD70" i="2"/>
  <c r="AF70" i="2" s="1"/>
  <c r="BU69" i="2"/>
  <c r="AF69" i="2"/>
  <c r="AD69" i="2"/>
  <c r="BU68" i="2"/>
  <c r="AD68" i="2"/>
  <c r="AF68" i="2" s="1"/>
  <c r="BU67" i="2"/>
  <c r="AD67" i="2"/>
  <c r="AF67" i="2" s="1"/>
  <c r="BU66" i="2"/>
  <c r="AD66" i="2"/>
  <c r="AF66" i="2" s="1"/>
  <c r="BU65" i="2"/>
  <c r="AD65" i="2"/>
  <c r="AF65" i="2" s="1"/>
  <c r="BU64" i="2"/>
  <c r="AD64" i="2"/>
  <c r="AF64" i="2" s="1"/>
  <c r="BU63" i="2"/>
  <c r="AF63" i="2"/>
  <c r="AD63" i="2"/>
  <c r="BU62" i="2"/>
  <c r="AD62" i="2"/>
  <c r="AF62" i="2" s="1"/>
  <c r="R58" i="2"/>
  <c r="Q58" i="2"/>
  <c r="P58" i="2"/>
  <c r="O58" i="2"/>
  <c r="N58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S57" i="2"/>
  <c r="O57" i="2"/>
  <c r="N57" i="2"/>
  <c r="M57" i="2"/>
  <c r="L57" i="2"/>
  <c r="G57" i="2"/>
  <c r="F57" i="2"/>
  <c r="E57" i="2"/>
  <c r="D57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T56" i="2"/>
  <c r="M56" i="2"/>
  <c r="L56" i="2"/>
  <c r="J56" i="2"/>
  <c r="I56" i="2"/>
  <c r="F56" i="2"/>
  <c r="E56" i="2"/>
  <c r="D56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P55" i="2"/>
  <c r="O55" i="2"/>
  <c r="N55" i="2"/>
  <c r="M55" i="2"/>
  <c r="L55" i="2"/>
  <c r="I55" i="2"/>
  <c r="H55" i="2"/>
  <c r="G55" i="2"/>
  <c r="F55" i="2"/>
  <c r="E55" i="2"/>
  <c r="D55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S54" i="2"/>
  <c r="Q54" i="2"/>
  <c r="F54" i="2"/>
  <c r="E54" i="2"/>
  <c r="D54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A53" i="2"/>
  <c r="X53" i="2"/>
  <c r="W53" i="2"/>
  <c r="M53" i="2"/>
  <c r="I53" i="2"/>
  <c r="G53" i="2"/>
  <c r="F53" i="2"/>
  <c r="E53" i="2"/>
  <c r="D53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O52" i="2"/>
  <c r="N52" i="2"/>
  <c r="M52" i="2"/>
  <c r="L52" i="2"/>
  <c r="J52" i="2"/>
  <c r="I52" i="2"/>
  <c r="H52" i="2"/>
  <c r="G52" i="2"/>
  <c r="F52" i="2"/>
  <c r="E52" i="2"/>
  <c r="D52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U51" i="2"/>
  <c r="T51" i="2"/>
  <c r="P51" i="2"/>
  <c r="O51" i="2"/>
  <c r="N51" i="2"/>
  <c r="M51" i="2"/>
  <c r="L51" i="2"/>
  <c r="K51" i="2"/>
  <c r="I51" i="2"/>
  <c r="H51" i="2"/>
  <c r="G51" i="2"/>
  <c r="F51" i="2"/>
  <c r="E51" i="2"/>
  <c r="D51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A50" i="2"/>
  <c r="Z50" i="2"/>
  <c r="Y50" i="2"/>
  <c r="X50" i="2"/>
  <c r="W50" i="2"/>
  <c r="V50" i="2"/>
  <c r="T50" i="2"/>
  <c r="S50" i="2"/>
  <c r="N50" i="2"/>
  <c r="M50" i="2"/>
  <c r="L50" i="2"/>
  <c r="K50" i="2"/>
  <c r="I50" i="2"/>
  <c r="H50" i="2"/>
  <c r="G50" i="2"/>
  <c r="F50" i="2"/>
  <c r="E50" i="2"/>
  <c r="D50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O49" i="2"/>
  <c r="M49" i="2"/>
  <c r="L49" i="2"/>
  <c r="I49" i="2"/>
  <c r="H49" i="2"/>
  <c r="G49" i="2"/>
  <c r="F49" i="2"/>
  <c r="E49" i="2"/>
  <c r="D49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U48" i="2"/>
  <c r="T48" i="2"/>
  <c r="M48" i="2"/>
  <c r="J48" i="2"/>
  <c r="G48" i="2"/>
  <c r="F48" i="2"/>
  <c r="E48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W47" i="2"/>
  <c r="V47" i="2"/>
  <c r="U47" i="2"/>
  <c r="T47" i="2"/>
  <c r="S47" i="2"/>
  <c r="O47" i="2"/>
  <c r="N47" i="2"/>
  <c r="M47" i="2"/>
  <c r="L47" i="2"/>
  <c r="K47" i="2"/>
  <c r="I47" i="2"/>
  <c r="H47" i="2"/>
  <c r="G47" i="2"/>
  <c r="F47" i="2"/>
  <c r="E47" i="2"/>
  <c r="D47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Y46" i="2"/>
  <c r="X46" i="2"/>
  <c r="W46" i="2"/>
  <c r="N46" i="2"/>
  <c r="M46" i="2"/>
  <c r="L46" i="2"/>
  <c r="I46" i="2"/>
  <c r="D46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T45" i="2"/>
  <c r="M45" i="2"/>
  <c r="L45" i="2"/>
  <c r="I45" i="2"/>
  <c r="H45" i="2"/>
  <c r="G45" i="2"/>
  <c r="F45" i="2"/>
  <c r="E45" i="2"/>
  <c r="D45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U44" i="2"/>
  <c r="T44" i="2"/>
  <c r="S44" i="2"/>
  <c r="O44" i="2"/>
  <c r="N44" i="2"/>
  <c r="M44" i="2"/>
  <c r="L44" i="2"/>
  <c r="I44" i="2"/>
  <c r="H44" i="2"/>
  <c r="G44" i="2"/>
  <c r="F44" i="2"/>
  <c r="E44" i="2"/>
  <c r="D44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U43" i="2"/>
  <c r="T43" i="2"/>
  <c r="S43" i="2"/>
  <c r="M43" i="2"/>
  <c r="L43" i="2"/>
  <c r="K43" i="2"/>
  <c r="H43" i="2"/>
  <c r="G43" i="2"/>
  <c r="F43" i="2"/>
  <c r="E43" i="2"/>
  <c r="D43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M42" i="2"/>
  <c r="L42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U41" i="2"/>
  <c r="T41" i="2"/>
  <c r="O41" i="2"/>
  <c r="N41" i="2"/>
  <c r="M41" i="2"/>
  <c r="J41" i="2"/>
  <c r="I41" i="2"/>
  <c r="E41" i="2"/>
  <c r="D41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A40" i="2"/>
  <c r="Z40" i="2"/>
  <c r="Y40" i="2"/>
  <c r="X40" i="2"/>
  <c r="W40" i="2"/>
  <c r="V40" i="2"/>
  <c r="U40" i="2"/>
  <c r="T40" i="2"/>
  <c r="S40" i="2"/>
  <c r="G40" i="2"/>
  <c r="F40" i="2"/>
  <c r="E40" i="2"/>
  <c r="D40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P39" i="2"/>
  <c r="N39" i="2"/>
  <c r="M39" i="2"/>
  <c r="L39" i="2"/>
  <c r="K39" i="2"/>
  <c r="J39" i="2"/>
  <c r="I39" i="2"/>
  <c r="H39" i="2"/>
  <c r="F39" i="2"/>
  <c r="E39" i="2"/>
  <c r="D39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T38" i="2"/>
  <c r="S38" i="2"/>
  <c r="Q38" i="2"/>
  <c r="O38" i="2"/>
  <c r="N38" i="2"/>
  <c r="M38" i="2"/>
  <c r="L38" i="2"/>
  <c r="I38" i="2"/>
  <c r="H38" i="2"/>
  <c r="G38" i="2"/>
  <c r="F38" i="2"/>
  <c r="E38" i="2"/>
  <c r="D38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O37" i="2"/>
  <c r="N37" i="2"/>
  <c r="M37" i="2"/>
  <c r="D37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O36" i="2"/>
  <c r="N36" i="2"/>
  <c r="M36" i="2"/>
  <c r="L36" i="2"/>
  <c r="K36" i="2"/>
  <c r="J36" i="2"/>
  <c r="H36" i="2"/>
  <c r="G36" i="2"/>
  <c r="F36" i="2"/>
  <c r="E36" i="2"/>
  <c r="D36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V35" i="2"/>
  <c r="U35" i="2"/>
  <c r="T35" i="2"/>
  <c r="S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U31" i="2"/>
  <c r="X30" i="2"/>
  <c r="X57" i="2" s="1"/>
  <c r="U30" i="2"/>
  <c r="T57" i="2" s="1"/>
  <c r="Q30" i="2"/>
  <c r="R30" i="2" s="1"/>
  <c r="H30" i="2"/>
  <c r="H57" i="2" s="1"/>
  <c r="V29" i="2"/>
  <c r="V56" i="2" s="1"/>
  <c r="P29" i="2"/>
  <c r="O56" i="2" s="1"/>
  <c r="O29" i="2"/>
  <c r="N56" i="2" s="1"/>
  <c r="J29" i="2"/>
  <c r="K56" i="2" s="1"/>
  <c r="G29" i="2"/>
  <c r="G56" i="2" s="1"/>
  <c r="V28" i="2"/>
  <c r="V55" i="2" s="1"/>
  <c r="T28" i="2"/>
  <c r="T55" i="2" s="1"/>
  <c r="Q28" i="2"/>
  <c r="R28" i="2" s="1"/>
  <c r="J28" i="2"/>
  <c r="BQ28" i="2" s="1"/>
  <c r="O29" i="1" s="1"/>
  <c r="T29" i="1" s="1"/>
  <c r="V27" i="2"/>
  <c r="V54" i="2" s="1"/>
  <c r="U27" i="2"/>
  <c r="T54" i="2" s="1"/>
  <c r="R27" i="2"/>
  <c r="R54" i="2" s="1"/>
  <c r="G27" i="2"/>
  <c r="H27" i="2" s="1"/>
  <c r="AC26" i="2"/>
  <c r="AB53" i="2" s="1"/>
  <c r="Z26" i="2"/>
  <c r="Z53" i="2" s="1"/>
  <c r="V26" i="2"/>
  <c r="U26" i="2" s="1"/>
  <c r="O26" i="2"/>
  <c r="N53" i="2" s="1"/>
  <c r="K26" i="2"/>
  <c r="L53" i="2" s="1"/>
  <c r="J26" i="2"/>
  <c r="J53" i="2" s="1"/>
  <c r="I26" i="2"/>
  <c r="G26" i="2"/>
  <c r="H53" i="2" s="1"/>
  <c r="R25" i="2"/>
  <c r="R52" i="2" s="1"/>
  <c r="Q25" i="2"/>
  <c r="P52" i="2" s="1"/>
  <c r="J25" i="2"/>
  <c r="BQ25" i="2" s="1"/>
  <c r="O26" i="1" s="1"/>
  <c r="T26" i="1" s="1"/>
  <c r="X24" i="2"/>
  <c r="X51" i="2" s="1"/>
  <c r="V24" i="2"/>
  <c r="V51" i="2" s="1"/>
  <c r="S24" i="2"/>
  <c r="S51" i="2" s="1"/>
  <c r="R24" i="2"/>
  <c r="Q51" i="2" s="1"/>
  <c r="J24" i="2"/>
  <c r="BQ24" i="2" s="1"/>
  <c r="O25" i="1" s="1"/>
  <c r="T25" i="1" s="1"/>
  <c r="AC23" i="2"/>
  <c r="AC50" i="2" s="1"/>
  <c r="V23" i="2"/>
  <c r="U50" i="2" s="1"/>
  <c r="R23" i="2"/>
  <c r="R50" i="2" s="1"/>
  <c r="Q23" i="2"/>
  <c r="P50" i="2" s="1"/>
  <c r="O23" i="2"/>
  <c r="O50" i="2" s="1"/>
  <c r="I23" i="2"/>
  <c r="BQ23" i="2" s="1"/>
  <c r="O24" i="1" s="1"/>
  <c r="Q22" i="2"/>
  <c r="P49" i="2" s="1"/>
  <c r="O22" i="2"/>
  <c r="N49" i="2" s="1"/>
  <c r="I22" i="2"/>
  <c r="J22" i="2" s="1"/>
  <c r="AB21" i="2"/>
  <c r="AB48" i="2" s="1"/>
  <c r="Z21" i="2"/>
  <c r="Z48" i="2" s="1"/>
  <c r="X21" i="2"/>
  <c r="X48" i="2" s="1"/>
  <c r="V21" i="2"/>
  <c r="V48" i="2" s="1"/>
  <c r="P21" i="2"/>
  <c r="O48" i="2" s="1"/>
  <c r="O21" i="2"/>
  <c r="N48" i="2" s="1"/>
  <c r="K21" i="2"/>
  <c r="L48" i="2" s="1"/>
  <c r="H21" i="2"/>
  <c r="I48" i="2" s="1"/>
  <c r="D21" i="2"/>
  <c r="D48" i="2" s="1"/>
  <c r="Y20" i="2"/>
  <c r="X47" i="2" s="1"/>
  <c r="Q20" i="2"/>
  <c r="P47" i="2" s="1"/>
  <c r="J20" i="2"/>
  <c r="Z19" i="2"/>
  <c r="Z46" i="2" s="1"/>
  <c r="T19" i="2"/>
  <c r="S46" i="2" s="1"/>
  <c r="P19" i="2"/>
  <c r="Q19" i="2" s="1"/>
  <c r="J19" i="2"/>
  <c r="K46" i="2" s="1"/>
  <c r="G19" i="2"/>
  <c r="H46" i="2" s="1"/>
  <c r="E19" i="2"/>
  <c r="F46" i="2" s="1"/>
  <c r="V18" i="2"/>
  <c r="V45" i="2" s="1"/>
  <c r="R18" i="2"/>
  <c r="S18" i="2" s="1"/>
  <c r="Q18" i="2"/>
  <c r="P45" i="2" s="1"/>
  <c r="O18" i="2"/>
  <c r="O45" i="2" s="1"/>
  <c r="J18" i="2"/>
  <c r="K45" i="2" s="1"/>
  <c r="V17" i="2"/>
  <c r="V44" i="2" s="1"/>
  <c r="R17" i="2"/>
  <c r="R44" i="2" s="1"/>
  <c r="Q17" i="2"/>
  <c r="P44" i="2" s="1"/>
  <c r="J17" i="2"/>
  <c r="J44" i="2" s="1"/>
  <c r="X16" i="2"/>
  <c r="W43" i="2" s="1"/>
  <c r="V16" i="2"/>
  <c r="V43" i="2" s="1"/>
  <c r="P16" i="2"/>
  <c r="O43" i="2" s="1"/>
  <c r="O16" i="2"/>
  <c r="N43" i="2" s="1"/>
  <c r="J16" i="2"/>
  <c r="J43" i="2" s="1"/>
  <c r="I16" i="2"/>
  <c r="V15" i="2"/>
  <c r="U42" i="2" s="1"/>
  <c r="N15" i="2"/>
  <c r="O15" i="2" s="1"/>
  <c r="G15" i="2"/>
  <c r="H15" i="2" s="1"/>
  <c r="E15" i="2"/>
  <c r="F42" i="2" s="1"/>
  <c r="C15" i="2"/>
  <c r="W14" i="2"/>
  <c r="W41" i="2" s="1"/>
  <c r="V14" i="2"/>
  <c r="P14" i="2"/>
  <c r="Q14" i="2" s="1"/>
  <c r="K14" i="2"/>
  <c r="L41" i="2" s="1"/>
  <c r="F14" i="2"/>
  <c r="AC13" i="2"/>
  <c r="AB40" i="2" s="1"/>
  <c r="AB13" i="2"/>
  <c r="R13" i="2"/>
  <c r="R40" i="2" s="1"/>
  <c r="Q13" i="2"/>
  <c r="P40" i="2" s="1"/>
  <c r="I13" i="2"/>
  <c r="I40" i="2" s="1"/>
  <c r="H13" i="2"/>
  <c r="H40" i="2" s="1"/>
  <c r="BQ12" i="2"/>
  <c r="O13" i="1" s="1"/>
  <c r="T13" i="1" s="1"/>
  <c r="R12" i="2"/>
  <c r="R39" i="2" s="1"/>
  <c r="Q12" i="2"/>
  <c r="P12" i="2"/>
  <c r="O39" i="2" s="1"/>
  <c r="G12" i="2"/>
  <c r="G39" i="2" s="1"/>
  <c r="V11" i="2"/>
  <c r="V38" i="2" s="1"/>
  <c r="R11" i="2"/>
  <c r="R38" i="2" s="1"/>
  <c r="Q11" i="2"/>
  <c r="P38" i="2" s="1"/>
  <c r="I11" i="2"/>
  <c r="J11" i="2" s="1"/>
  <c r="Q10" i="2"/>
  <c r="R10" i="2" s="1"/>
  <c r="P10" i="2"/>
  <c r="E10" i="2"/>
  <c r="F10" i="2" s="1"/>
  <c r="R9" i="2"/>
  <c r="R36" i="2" s="1"/>
  <c r="Q9" i="2"/>
  <c r="P36" i="2" s="1"/>
  <c r="J9" i="2"/>
  <c r="BQ9" i="2" s="1"/>
  <c r="O10" i="1" s="1"/>
  <c r="T10" i="1" s="1"/>
  <c r="I9" i="2"/>
  <c r="I36" i="2" s="1"/>
  <c r="X8" i="2"/>
  <c r="W35" i="2" s="1"/>
  <c r="S8" i="2"/>
  <c r="BQ8" i="2" s="1"/>
  <c r="O9" i="1" s="1"/>
  <c r="T9" i="1" s="1"/>
  <c r="U31" i="1"/>
  <c r="R31" i="1"/>
  <c r="U30" i="1"/>
  <c r="R30" i="1"/>
  <c r="U29" i="1"/>
  <c r="R29" i="1"/>
  <c r="U28" i="1"/>
  <c r="R28" i="1"/>
  <c r="U27" i="1"/>
  <c r="R27" i="1"/>
  <c r="U26" i="1"/>
  <c r="R26" i="1"/>
  <c r="U25" i="1"/>
  <c r="R25" i="1"/>
  <c r="U24" i="1"/>
  <c r="R24" i="1"/>
  <c r="U23" i="1"/>
  <c r="R23" i="1"/>
  <c r="U22" i="1"/>
  <c r="R22" i="1"/>
  <c r="U21" i="1"/>
  <c r="R21" i="1"/>
  <c r="U20" i="1"/>
  <c r="R20" i="1"/>
  <c r="U19" i="1"/>
  <c r="R19" i="1"/>
  <c r="U18" i="1"/>
  <c r="R18" i="1"/>
  <c r="U17" i="1"/>
  <c r="R17" i="1"/>
  <c r="U16" i="1"/>
  <c r="R16" i="1"/>
  <c r="U15" i="1"/>
  <c r="R15" i="1"/>
  <c r="U14" i="1"/>
  <c r="R14" i="1"/>
  <c r="U13" i="1"/>
  <c r="R13" i="1"/>
  <c r="U12" i="1"/>
  <c r="R12" i="1"/>
  <c r="U11" i="1"/>
  <c r="R11" i="1"/>
  <c r="U10" i="1"/>
  <c r="R10" i="1"/>
  <c r="U9" i="1"/>
  <c r="R9" i="1"/>
  <c r="I15" i="2" l="1"/>
  <c r="H42" i="2"/>
  <c r="S45" i="2"/>
  <c r="R45" i="2"/>
  <c r="R19" i="2"/>
  <c r="P46" i="2"/>
  <c r="I27" i="2"/>
  <c r="H54" i="2"/>
  <c r="G10" i="2"/>
  <c r="F37" i="2"/>
  <c r="T53" i="2"/>
  <c r="T26" i="2"/>
  <c r="R55" i="2"/>
  <c r="Q55" i="2"/>
  <c r="BO52" i="2"/>
  <c r="R14" i="2"/>
  <c r="P41" i="2"/>
  <c r="R57" i="2"/>
  <c r="Q57" i="2"/>
  <c r="T19" i="1"/>
  <c r="BQ20" i="2"/>
  <c r="O21" i="1" s="1"/>
  <c r="T21" i="1" s="1"/>
  <c r="T24" i="1"/>
  <c r="S10" i="2"/>
  <c r="Q37" i="2"/>
  <c r="N42" i="2"/>
  <c r="P15" i="2"/>
  <c r="K38" i="2"/>
  <c r="J38" i="2"/>
  <c r="K49" i="2"/>
  <c r="J49" i="2"/>
  <c r="BQ17" i="2"/>
  <c r="O18" i="1" s="1"/>
  <c r="T18" i="1" s="1"/>
  <c r="Q29" i="2"/>
  <c r="I30" i="2"/>
  <c r="E37" i="2"/>
  <c r="Q39" i="2"/>
  <c r="BO39" i="2" s="1"/>
  <c r="G42" i="2"/>
  <c r="I43" i="2"/>
  <c r="K44" i="2"/>
  <c r="U45" i="2"/>
  <c r="G46" i="2"/>
  <c r="O46" i="2"/>
  <c r="Y47" i="2"/>
  <c r="K48" i="2"/>
  <c r="AA48" i="2"/>
  <c r="K52" i="2"/>
  <c r="U53" i="2"/>
  <c r="AC53" i="2"/>
  <c r="G54" i="2"/>
  <c r="H56" i="2"/>
  <c r="W57" i="2"/>
  <c r="BQ18" i="2"/>
  <c r="O19" i="1" s="1"/>
  <c r="U19" i="2"/>
  <c r="R20" i="2"/>
  <c r="R22" i="2"/>
  <c r="P26" i="2"/>
  <c r="R35" i="2"/>
  <c r="BO35" i="2" s="1"/>
  <c r="F41" i="2"/>
  <c r="V41" i="2"/>
  <c r="N45" i="2"/>
  <c r="J47" i="2"/>
  <c r="J51" i="2"/>
  <c r="R51" i="2"/>
  <c r="BO51" i="2" s="1"/>
  <c r="V53" i="2"/>
  <c r="J55" i="2"/>
  <c r="P57" i="2"/>
  <c r="Q50" i="2"/>
  <c r="BO50" i="2" s="1"/>
  <c r="K55" i="2"/>
  <c r="S55" i="2"/>
  <c r="BQ11" i="2"/>
  <c r="O12" i="1" s="1"/>
  <c r="T12" i="1" s="1"/>
  <c r="G14" i="2"/>
  <c r="Q16" i="2"/>
  <c r="Q21" i="2"/>
  <c r="P37" i="2"/>
  <c r="J46" i="2"/>
  <c r="J50" i="2"/>
  <c r="Q45" i="2"/>
  <c r="W48" i="2"/>
  <c r="Y53" i="2"/>
  <c r="U55" i="2"/>
  <c r="J13" i="2"/>
  <c r="V30" i="2"/>
  <c r="D42" i="2"/>
  <c r="J45" i="2"/>
  <c r="H48" i="2"/>
  <c r="AB50" i="2"/>
  <c r="U56" i="2"/>
  <c r="Q36" i="2"/>
  <c r="BO36" i="2" s="1"/>
  <c r="U38" i="2"/>
  <c r="BO38" i="2" s="1"/>
  <c r="Q40" i="2"/>
  <c r="K41" i="2"/>
  <c r="E42" i="2"/>
  <c r="Q44" i="2"/>
  <c r="BO44" i="2" s="1"/>
  <c r="E46" i="2"/>
  <c r="Y48" i="2"/>
  <c r="W51" i="2"/>
  <c r="Q52" i="2"/>
  <c r="K53" i="2"/>
  <c r="U54" i="2"/>
  <c r="BS38" i="2" l="1"/>
  <c r="BP11" i="2"/>
  <c r="BO11" i="2" s="1"/>
  <c r="N12" i="1" s="1"/>
  <c r="BP12" i="2"/>
  <c r="BO12" i="2" s="1"/>
  <c r="N13" i="1" s="1"/>
  <c r="S13" i="1" s="1"/>
  <c r="V13" i="1" s="1"/>
  <c r="BS39" i="2"/>
  <c r="BP8" i="2"/>
  <c r="BO8" i="2" s="1"/>
  <c r="N9" i="1" s="1"/>
  <c r="S9" i="1" s="1"/>
  <c r="V9" i="1" s="1"/>
  <c r="BS35" i="2"/>
  <c r="BP24" i="2"/>
  <c r="BO24" i="2" s="1"/>
  <c r="N25" i="1" s="1"/>
  <c r="S25" i="1" s="1"/>
  <c r="V25" i="1" s="1"/>
  <c r="BS51" i="2"/>
  <c r="BP17" i="2"/>
  <c r="BO17" i="2" s="1"/>
  <c r="N18" i="1" s="1"/>
  <c r="BS44" i="2"/>
  <c r="BP23" i="2"/>
  <c r="BO23" i="2" s="1"/>
  <c r="N24" i="1" s="1"/>
  <c r="BS50" i="2"/>
  <c r="BS36" i="2"/>
  <c r="BP9" i="2"/>
  <c r="BO9" i="2" s="1"/>
  <c r="N10" i="1" s="1"/>
  <c r="S10" i="1" s="1"/>
  <c r="V10" i="1" s="1"/>
  <c r="BO57" i="2"/>
  <c r="S26" i="2"/>
  <c r="R46" i="2"/>
  <c r="Q46" i="2"/>
  <c r="P48" i="2"/>
  <c r="R21" i="2"/>
  <c r="Q15" i="2"/>
  <c r="O42" i="2"/>
  <c r="J15" i="2"/>
  <c r="I42" i="2"/>
  <c r="P43" i="2"/>
  <c r="R16" i="2"/>
  <c r="H41" i="2"/>
  <c r="G41" i="2"/>
  <c r="J27" i="2"/>
  <c r="I54" i="2"/>
  <c r="R49" i="2"/>
  <c r="Q49" i="2"/>
  <c r="BO49" i="2" s="1"/>
  <c r="S18" i="1"/>
  <c r="V18" i="1" s="1"/>
  <c r="T10" i="2"/>
  <c r="R37" i="2"/>
  <c r="I57" i="2"/>
  <c r="J30" i="2"/>
  <c r="Q41" i="2"/>
  <c r="S14" i="2"/>
  <c r="S12" i="1"/>
  <c r="V12" i="1" s="1"/>
  <c r="P53" i="2"/>
  <c r="O53" i="2"/>
  <c r="R29" i="2"/>
  <c r="P56" i="2"/>
  <c r="V57" i="2"/>
  <c r="U57" i="2"/>
  <c r="R47" i="2"/>
  <c r="Q47" i="2"/>
  <c r="BO47" i="2" s="1"/>
  <c r="S24" i="1"/>
  <c r="V24" i="1" s="1"/>
  <c r="BO55" i="2"/>
  <c r="H10" i="2"/>
  <c r="G37" i="2"/>
  <c r="BS52" i="2"/>
  <c r="BP25" i="2"/>
  <c r="BO25" i="2" s="1"/>
  <c r="N26" i="1" s="1"/>
  <c r="S26" i="1" s="1"/>
  <c r="V26" i="1" s="1"/>
  <c r="J40" i="2"/>
  <c r="K13" i="2"/>
  <c r="BO45" i="2"/>
  <c r="T46" i="2"/>
  <c r="V19" i="2"/>
  <c r="BQ22" i="2"/>
  <c r="O23" i="1" s="1"/>
  <c r="T23" i="1" s="1"/>
  <c r="S37" i="2" l="1"/>
  <c r="U10" i="2"/>
  <c r="BS57" i="2"/>
  <c r="BP30" i="2"/>
  <c r="BO30" i="2" s="1"/>
  <c r="N31" i="1" s="1"/>
  <c r="BP20" i="2"/>
  <c r="BO20" i="2" s="1"/>
  <c r="N21" i="1" s="1"/>
  <c r="S21" i="1" s="1"/>
  <c r="V21" i="1" s="1"/>
  <c r="BS47" i="2"/>
  <c r="R43" i="2"/>
  <c r="Q43" i="2"/>
  <c r="BO43" i="2" s="1"/>
  <c r="BQ16" i="2"/>
  <c r="O17" i="1" s="1"/>
  <c r="T17" i="1" s="1"/>
  <c r="S23" i="1"/>
  <c r="V23" i="1" s="1"/>
  <c r="S41" i="2"/>
  <c r="BO41" i="2" s="1"/>
  <c r="R41" i="2"/>
  <c r="BS49" i="2"/>
  <c r="BP22" i="2"/>
  <c r="BO22" i="2" s="1"/>
  <c r="N23" i="1" s="1"/>
  <c r="BQ14" i="2"/>
  <c r="O15" i="1" s="1"/>
  <c r="T15" i="1" s="1"/>
  <c r="V46" i="2"/>
  <c r="BO46" i="2" s="1"/>
  <c r="U46" i="2"/>
  <c r="BQ19" i="2"/>
  <c r="O20" i="1" s="1"/>
  <c r="T20" i="1" s="1"/>
  <c r="R26" i="2"/>
  <c r="K42" i="2"/>
  <c r="J42" i="2"/>
  <c r="BS45" i="2"/>
  <c r="BP18" i="2"/>
  <c r="BO18" i="2" s="1"/>
  <c r="N19" i="1" s="1"/>
  <c r="S19" i="1" s="1"/>
  <c r="V19" i="1" s="1"/>
  <c r="J54" i="2"/>
  <c r="K27" i="2"/>
  <c r="L13" i="2"/>
  <c r="K40" i="2"/>
  <c r="H37" i="2"/>
  <c r="I10" i="2"/>
  <c r="S29" i="2"/>
  <c r="Q56" i="2"/>
  <c r="P42" i="2"/>
  <c r="R15" i="2"/>
  <c r="S53" i="2"/>
  <c r="K57" i="2"/>
  <c r="J57" i="2"/>
  <c r="BQ30" i="2"/>
  <c r="O31" i="1" s="1"/>
  <c r="T31" i="1" s="1"/>
  <c r="S31" i="1" s="1"/>
  <c r="V31" i="1" s="1"/>
  <c r="BS55" i="2"/>
  <c r="BP28" i="2"/>
  <c r="BO28" i="2" s="1"/>
  <c r="N29" i="1" s="1"/>
  <c r="S29" i="1" s="1"/>
  <c r="V29" i="1" s="1"/>
  <c r="Q48" i="2"/>
  <c r="S21" i="2"/>
  <c r="BP19" i="2" l="1"/>
  <c r="BO19" i="2" s="1"/>
  <c r="N20" i="1" s="1"/>
  <c r="BS46" i="2"/>
  <c r="BS43" i="2"/>
  <c r="BP16" i="2"/>
  <c r="BO16" i="2" s="1"/>
  <c r="N17" i="1" s="1"/>
  <c r="BS41" i="2"/>
  <c r="BP14" i="2"/>
  <c r="BO14" i="2" s="1"/>
  <c r="N15" i="1" s="1"/>
  <c r="S15" i="1" s="1"/>
  <c r="V15" i="1" s="1"/>
  <c r="S56" i="2"/>
  <c r="R56" i="2"/>
  <c r="BO56" i="2" s="1"/>
  <c r="BQ29" i="2"/>
  <c r="O30" i="1" s="1"/>
  <c r="T30" i="1" s="1"/>
  <c r="K54" i="2"/>
  <c r="L27" i="2"/>
  <c r="Q53" i="2"/>
  <c r="BQ26" i="2"/>
  <c r="O27" i="1" s="1"/>
  <c r="T27" i="1" s="1"/>
  <c r="R53" i="2"/>
  <c r="I37" i="2"/>
  <c r="J10" i="2"/>
  <c r="S20" i="1"/>
  <c r="V20" i="1" s="1"/>
  <c r="R48" i="2"/>
  <c r="S48" i="2"/>
  <c r="BO48" i="2" s="1"/>
  <c r="BQ21" i="2"/>
  <c r="O22" i="1" s="1"/>
  <c r="T22" i="1" s="1"/>
  <c r="S17" i="1"/>
  <c r="V17" i="1" s="1"/>
  <c r="T37" i="2"/>
  <c r="V10" i="2"/>
  <c r="Q42" i="2"/>
  <c r="S15" i="2"/>
  <c r="L40" i="2"/>
  <c r="M13" i="2"/>
  <c r="BS48" i="2" l="1"/>
  <c r="BP21" i="2"/>
  <c r="BO21" i="2" s="1"/>
  <c r="N22" i="1" s="1"/>
  <c r="BO53" i="2"/>
  <c r="R42" i="2"/>
  <c r="T15" i="2"/>
  <c r="L54" i="2"/>
  <c r="M27" i="2"/>
  <c r="J37" i="2"/>
  <c r="K10" i="2"/>
  <c r="BP29" i="2"/>
  <c r="BO29" i="2" s="1"/>
  <c r="N30" i="1" s="1"/>
  <c r="S30" i="1" s="1"/>
  <c r="V30" i="1" s="1"/>
  <c r="BS56" i="2"/>
  <c r="S22" i="1"/>
  <c r="V22" i="1" s="1"/>
  <c r="M40" i="2"/>
  <c r="N13" i="2"/>
  <c r="O13" i="2" s="1"/>
  <c r="BQ13" i="2"/>
  <c r="O14" i="1" s="1"/>
  <c r="T14" i="1" s="1"/>
  <c r="W10" i="2"/>
  <c r="U37" i="2"/>
  <c r="T42" i="2" l="1"/>
  <c r="S42" i="2"/>
  <c r="BQ15" i="2"/>
  <c r="O16" i="1" s="1"/>
  <c r="T16" i="1" s="1"/>
  <c r="BO42" i="2"/>
  <c r="L37" i="2"/>
  <c r="K37" i="2"/>
  <c r="BS53" i="2"/>
  <c r="BP26" i="2"/>
  <c r="BO26" i="2" s="1"/>
  <c r="N27" i="1" s="1"/>
  <c r="S27" i="1" s="1"/>
  <c r="V27" i="1" s="1"/>
  <c r="X10" i="2"/>
  <c r="V37" i="2"/>
  <c r="O40" i="2"/>
  <c r="N40" i="2"/>
  <c r="BO40" i="2" s="1"/>
  <c r="M54" i="2"/>
  <c r="N27" i="2"/>
  <c r="O27" i="2" l="1"/>
  <c r="BS40" i="2"/>
  <c r="BP13" i="2"/>
  <c r="BO13" i="2" s="1"/>
  <c r="N14" i="1" s="1"/>
  <c r="S14" i="1" s="1"/>
  <c r="V14" i="1" s="1"/>
  <c r="BP15" i="2"/>
  <c r="BO15" i="2" s="1"/>
  <c r="N16" i="1" s="1"/>
  <c r="S16" i="1" s="1"/>
  <c r="V16" i="1" s="1"/>
  <c r="BS42" i="2"/>
  <c r="Y10" i="2"/>
  <c r="W37" i="2"/>
  <c r="Z10" i="2" l="1"/>
  <c r="X37" i="2"/>
  <c r="N54" i="2"/>
  <c r="P27" i="2"/>
  <c r="P54" i="2" l="1"/>
  <c r="O54" i="2"/>
  <c r="BQ27" i="2"/>
  <c r="O28" i="1" s="1"/>
  <c r="T28" i="1" s="1"/>
  <c r="BO54" i="2"/>
  <c r="AA10" i="2"/>
  <c r="Y37" i="2"/>
  <c r="AB10" i="2" l="1"/>
  <c r="Z37" i="2"/>
  <c r="BS54" i="2"/>
  <c r="BP27" i="2"/>
  <c r="BO27" i="2" s="1"/>
  <c r="N28" i="1" s="1"/>
  <c r="S28" i="1" s="1"/>
  <c r="V28" i="1" s="1"/>
  <c r="AA37" i="2" l="1"/>
  <c r="AC10" i="2"/>
  <c r="AB37" i="2" l="1"/>
  <c r="AC37" i="2"/>
  <c r="BO37" i="2" s="1"/>
  <c r="BQ10" i="2"/>
  <c r="O11" i="1" s="1"/>
  <c r="T11" i="1" s="1"/>
  <c r="BS37" i="2" l="1"/>
  <c r="BP10" i="2"/>
  <c r="BO10" i="2" s="1"/>
  <c r="N11" i="1" s="1"/>
  <c r="S11" i="1" s="1"/>
  <c r="V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Edgar Hurtado Terán</author>
  </authors>
  <commentList>
    <comment ref="Q8" authorId="0" shapeId="0" xr:uid="{D3911A3B-EC95-894A-8612-6547EDA210E6}">
      <text>
        <r>
          <rPr>
            <b/>
            <sz val="10"/>
            <color rgb="FF000000"/>
            <rFont val="Tahoma"/>
            <family val="2"/>
          </rPr>
          <t>Edgar Hurtado Terán: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Cambio de unidad. Dakota por Hilux PLACA: ZH 3163 B </t>
        </r>
      </text>
    </comment>
    <comment ref="S8" authorId="0" shapeId="0" xr:uid="{C98140ED-64E0-714F-A794-3389BD368BB0}">
      <text>
        <r>
          <rPr>
            <b/>
            <sz val="10"/>
            <color rgb="FF000000"/>
            <rFont val="Tahoma"/>
            <family val="2"/>
          </rPr>
          <t>Edgar Hurtado Terán: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Undad en proceso de descontinuarla. En su lugar queda Hilux 08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<sst xmlns="http://schemas.openxmlformats.org/spreadsheetml/2006/main" count="317" uniqueCount="138">
  <si>
    <t>Arian Silver de México S.A. de C.V.
Planeación Mantenimiento Mina 
Administración de flotilla vehicular
2026</t>
  </si>
  <si>
    <t xml:space="preserve">INFORMACIÓN GENERAL </t>
  </si>
  <si>
    <t xml:space="preserve">Intervalos de mantenimiento </t>
  </si>
  <si>
    <t xml:space="preserve">Programación </t>
  </si>
  <si>
    <t>Unidad</t>
  </si>
  <si>
    <t xml:space="preserve">Ubicación </t>
  </si>
  <si>
    <t>Propietario</t>
  </si>
  <si>
    <t xml:space="preserve">Departamento </t>
  </si>
  <si>
    <t xml:space="preserve">Cuenta contable </t>
  </si>
  <si>
    <t>Modelo</t>
  </si>
  <si>
    <t>Combustible</t>
  </si>
  <si>
    <t>Placas</t>
  </si>
  <si>
    <t xml:space="preserve">No. Serie </t>
  </si>
  <si>
    <t>Medida de neumáticos</t>
  </si>
  <si>
    <t>Botiquín PA</t>
  </si>
  <si>
    <t>Int días</t>
  </si>
  <si>
    <t>Int servicio</t>
  </si>
  <si>
    <t>Km Prom diario</t>
  </si>
  <si>
    <t>Km actuales</t>
  </si>
  <si>
    <t>Km Último servicio</t>
  </si>
  <si>
    <t>Fecha ultimo servicio</t>
  </si>
  <si>
    <t>Km proximo servicio</t>
  </si>
  <si>
    <t>Servicio por KM</t>
  </si>
  <si>
    <t>Km para servicio</t>
  </si>
  <si>
    <t>Servicio por T</t>
  </si>
  <si>
    <t>Pronóstico serv</t>
  </si>
  <si>
    <t>ASM-002HiluxMedio Ambiente ZH-3163-B</t>
  </si>
  <si>
    <t xml:space="preserve">Mina </t>
  </si>
  <si>
    <t>Arian Silver de México</t>
  </si>
  <si>
    <t xml:space="preserve">Medio Ambiente </t>
  </si>
  <si>
    <t>8019-548-901</t>
  </si>
  <si>
    <t xml:space="preserve">Diésel </t>
  </si>
  <si>
    <t>ZH-3153-B</t>
  </si>
  <si>
    <t>1D7HW48P87S256272</t>
  </si>
  <si>
    <t>LT/265/70R17</t>
  </si>
  <si>
    <t xml:space="preserve">SI </t>
  </si>
  <si>
    <t>ASM-006FrontierMedio Ambiente ZH-3161-B</t>
  </si>
  <si>
    <t>8019-400-922</t>
  </si>
  <si>
    <t>Gasolina</t>
  </si>
  <si>
    <t>ZH-3161-B</t>
  </si>
  <si>
    <t>3N6AD33C4GK892141</t>
  </si>
  <si>
    <t>AT/205R16C</t>
  </si>
  <si>
    <t>ASM-007NP 300LaboratorioZH-3160-B</t>
  </si>
  <si>
    <t>Planta</t>
  </si>
  <si>
    <t xml:space="preserve">Laboratorio </t>
  </si>
  <si>
    <t>8012-548-390</t>
  </si>
  <si>
    <t>ZH-3160-B</t>
  </si>
  <si>
    <t>3N6AD33C5GK814774</t>
  </si>
  <si>
    <t>ASM-008HiluxOperación Mina TP-0477-H</t>
  </si>
  <si>
    <t>Huur</t>
  </si>
  <si>
    <t xml:space="preserve">Operación Mina </t>
  </si>
  <si>
    <t>8019-548-190</t>
  </si>
  <si>
    <t>Diésel</t>
  </si>
  <si>
    <t>ZH-3163-B</t>
  </si>
  <si>
    <t>MR0FA8CD8K3900944</t>
  </si>
  <si>
    <t>ASM-009NissanVersaVEH-746-D</t>
  </si>
  <si>
    <t xml:space="preserve">Planeación </t>
  </si>
  <si>
    <t>8012-548-150</t>
  </si>
  <si>
    <t>VEH-746-D</t>
  </si>
  <si>
    <t>3N1CN8AE9SK599731</t>
  </si>
  <si>
    <t>ASM-010ChevroletAveoUXS-682-E</t>
  </si>
  <si>
    <t>UXS-682-E</t>
  </si>
  <si>
    <t>LZWPRMGN6SF107290</t>
  </si>
  <si>
    <t>ASM-011Ram 4000Mantenimiento PlantaZH-3152-B</t>
  </si>
  <si>
    <t>Mantenimiento Planta</t>
  </si>
  <si>
    <t>8019-548-390</t>
  </si>
  <si>
    <t>ZH-3152-B</t>
  </si>
  <si>
    <t>3C7WRAKT6MG570165</t>
  </si>
  <si>
    <t>ASM-012L200 Gerencia GeneralZD-1550-B</t>
  </si>
  <si>
    <t xml:space="preserve">Administración </t>
  </si>
  <si>
    <t>ZD-1550-B</t>
  </si>
  <si>
    <t>MMBNLV56XNH055968</t>
  </si>
  <si>
    <t>ASM-013L200 Seguridad IndustrialZD-1551-B</t>
  </si>
  <si>
    <t xml:space="preserve">Seguridad Industiral </t>
  </si>
  <si>
    <t>8019-548-914</t>
  </si>
  <si>
    <t>ZD-1551-B</t>
  </si>
  <si>
    <t>MMBNLV563NH056251</t>
  </si>
  <si>
    <t>ASM-014L200 GeologíaZD-1552-B</t>
  </si>
  <si>
    <t xml:space="preserve">Geología </t>
  </si>
  <si>
    <t>8012-548-140</t>
  </si>
  <si>
    <t>ZD-1552-B</t>
  </si>
  <si>
    <t>MMBNLV569NH055993</t>
  </si>
  <si>
    <t>ASM-015YarisAdministraciónZHY-780-E</t>
  </si>
  <si>
    <t>ZHY-780-E</t>
  </si>
  <si>
    <t>MR2BF8C38P0005090</t>
  </si>
  <si>
    <t>ASM-016Ram 700 Operación PlantaYW-8191-D</t>
  </si>
  <si>
    <t xml:space="preserve">Operación Planta </t>
  </si>
  <si>
    <t>YW-8191-D</t>
  </si>
  <si>
    <t>9BD281H59PYY69987</t>
  </si>
  <si>
    <t>ASM-017HiluxMantenimiento Eléctrico Mina  TK-9722-H</t>
  </si>
  <si>
    <t xml:space="preserve">Mantenimiento Mina </t>
  </si>
  <si>
    <t>TK-9722-H</t>
  </si>
  <si>
    <t>MR0DA3CXR4007222</t>
  </si>
  <si>
    <t>ASM-018KiaRioPCZ-11-91</t>
  </si>
  <si>
    <t>PCZ-11-91</t>
  </si>
  <si>
    <t>3KPA24BC4NE456823</t>
  </si>
  <si>
    <t>ASM-019HiluxPlaneaciónTJ-7355-F</t>
  </si>
  <si>
    <t>TJ-7355-F</t>
  </si>
  <si>
    <t>MRDFA8CD3J3900638</t>
  </si>
  <si>
    <t>ASM-020HiluxExploraciónP TG7053-H</t>
  </si>
  <si>
    <t xml:space="preserve">Exploración </t>
  </si>
  <si>
    <t>TG-7053-H</t>
  </si>
  <si>
    <t>MR0DA3CD7P4005053</t>
  </si>
  <si>
    <t>ASM-021HiluxPlaneaciónTM-33-95-G</t>
  </si>
  <si>
    <t>TM-33-95-G</t>
  </si>
  <si>
    <t>MR0DA3CD7P4004372</t>
  </si>
  <si>
    <t>ASM-022YarisRelaciones Comunitarias UWY-713-D</t>
  </si>
  <si>
    <t xml:space="preserve">Relaciones Comunitarias </t>
  </si>
  <si>
    <t>UWY-713-D</t>
  </si>
  <si>
    <t>MR2BF8C37P0023290</t>
  </si>
  <si>
    <t>UYM-047-C</t>
  </si>
  <si>
    <t>VSSAA75F8H6532319</t>
  </si>
  <si>
    <t>ASM-024Frision T8 4x4Seguridad PatrimonialYW-7900-D</t>
  </si>
  <si>
    <t xml:space="preserve">Seguridad Patrimonial </t>
  </si>
  <si>
    <t>8019-548-902</t>
  </si>
  <si>
    <t>YW-7900-D</t>
  </si>
  <si>
    <t>3GALD1593PM002498</t>
  </si>
  <si>
    <t>ASM-025JACX200Administración-ZA-6811-D</t>
  </si>
  <si>
    <t>ZA-6811-D</t>
  </si>
  <si>
    <t>3GALJ1398RM003712</t>
  </si>
  <si>
    <t>ASM-026HiluxGeología TL-8939-H</t>
  </si>
  <si>
    <t>TL-8939-H</t>
  </si>
  <si>
    <t>MR0DA3CD4R4007281</t>
  </si>
  <si>
    <t>ASM-027HiluxOperación Mina TN-920-H</t>
  </si>
  <si>
    <t>TN-0201-H</t>
  </si>
  <si>
    <t>MR0DA3CD9S4009937</t>
  </si>
  <si>
    <t>CAPTURA DE CHECK LIST VEHICULAR</t>
  </si>
  <si>
    <t>Promedio km recorridos</t>
  </si>
  <si>
    <t>X Diario</t>
  </si>
  <si>
    <t>X Semanal</t>
  </si>
  <si>
    <t xml:space="preserve"> actuales </t>
  </si>
  <si>
    <t>Dakota (Provisional)</t>
  </si>
  <si>
    <t>Km recorridos en la semana</t>
  </si>
  <si>
    <t xml:space="preserve">Kms recorridos x semana </t>
  </si>
  <si>
    <t>KM SEM</t>
  </si>
  <si>
    <t xml:space="preserve">Cumplimiento de check list (lunes) </t>
  </si>
  <si>
    <t xml:space="preserve">Cumplimiento % </t>
  </si>
  <si>
    <r>
      <t>ASM-023SeatAtecaUYM-047-C (</t>
    </r>
    <r>
      <rPr>
        <b/>
        <i/>
        <sz val="10"/>
        <color theme="1"/>
        <rFont val="Arial"/>
        <family val="2"/>
      </rPr>
      <t>VERSA PLATA PROVISIONAL</t>
    </r>
    <r>
      <rPr>
        <b/>
        <sz val="10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</si>
</sst>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Lucida Sans"/>
      <family val="2"/>
    </font>
    <font>
      <u/>
      <sz val="12"/>
      <color theme="10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2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u/>
      <sz val="12"/>
      <color theme="10"/>
      <name val="Arial"/>
      <family val="2"/>
    </font>
    <font>
      <b/>
      <sz val="10"/>
      <color theme="0" tint="-4.9989318521683403E-2"/>
      <name val="Arial"/>
      <family val="2"/>
    </font>
    <font>
      <b/>
      <u/>
      <sz val="10"/>
      <color theme="0" tint="-4.9989318521683403E-2"/>
      <name val="Arial"/>
      <family val="2"/>
    </font>
    <font>
      <b/>
      <sz val="10"/>
      <color rgb="FFFF0000"/>
      <name val="Arial"/>
      <family val="2"/>
    </font>
    <font>
      <u/>
      <sz val="10"/>
      <color theme="1"/>
      <name val="Arial"/>
      <family val="2"/>
    </font>
    <font>
      <b/>
      <sz val="12"/>
      <color theme="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 style="thin">
        <color indexed="64"/>
      </bottom>
      <diagonal/>
    </border>
    <border>
      <left/>
      <right style="medium">
        <color theme="4" tint="-0.499984740745262"/>
      </right>
      <top/>
      <bottom style="thin">
        <color indexed="64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0" fontId="6" fillId="0" borderId="0" xfId="0" applyFont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9" fillId="2" borderId="0" xfId="0" applyFont="1" applyFill="1"/>
    <xf numFmtId="0" fontId="8" fillId="3" borderId="2" xfId="0" applyFont="1" applyFill="1" applyBorder="1" applyAlignment="1">
      <alignment horizontal="center" vertical="center"/>
    </xf>
    <xf numFmtId="3" fontId="10" fillId="0" borderId="2" xfId="2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right" vertical="center"/>
    </xf>
    <xf numFmtId="164" fontId="10" fillId="0" borderId="2" xfId="0" applyNumberFormat="1" applyFont="1" applyBorder="1" applyAlignment="1">
      <alignment horizontal="right" vertical="center"/>
    </xf>
    <xf numFmtId="14" fontId="10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12" fillId="0" borderId="0" xfId="3" applyFont="1"/>
    <xf numFmtId="0" fontId="6" fillId="0" borderId="0" xfId="2" applyFont="1" applyAlignment="1">
      <alignment horizontal="left"/>
    </xf>
    <xf numFmtId="0" fontId="6" fillId="0" borderId="0" xfId="2" applyFont="1"/>
    <xf numFmtId="0" fontId="6" fillId="3" borderId="0" xfId="2" applyFont="1" applyFill="1" applyAlignment="1">
      <alignment horizontal="left"/>
    </xf>
    <xf numFmtId="0" fontId="6" fillId="3" borderId="0" xfId="2" applyFont="1" applyFill="1"/>
    <xf numFmtId="0" fontId="9" fillId="3" borderId="1" xfId="2" applyFont="1" applyFill="1" applyBorder="1" applyAlignment="1">
      <alignment horizontal="center"/>
    </xf>
    <xf numFmtId="0" fontId="8" fillId="3" borderId="1" xfId="2" applyFont="1" applyFill="1" applyBorder="1" applyAlignment="1">
      <alignment horizontal="center"/>
    </xf>
    <xf numFmtId="0" fontId="8" fillId="2" borderId="0" xfId="2" applyFont="1" applyFill="1" applyAlignment="1">
      <alignment horizontal="center" vertical="center"/>
    </xf>
    <xf numFmtId="0" fontId="8" fillId="2" borderId="7" xfId="2" applyFont="1" applyFill="1" applyBorder="1" applyAlignment="1">
      <alignment horizontal="center" vertical="center"/>
    </xf>
    <xf numFmtId="16" fontId="8" fillId="2" borderId="8" xfId="2" applyNumberFormat="1" applyFont="1" applyFill="1" applyBorder="1" applyAlignment="1">
      <alignment horizontal="center" vertical="center"/>
    </xf>
    <xf numFmtId="0" fontId="13" fillId="2" borderId="9" xfId="2" applyFont="1" applyFill="1" applyBorder="1" applyAlignment="1">
      <alignment horizontal="center"/>
    </xf>
    <xf numFmtId="0" fontId="13" fillId="2" borderId="10" xfId="2" applyFont="1" applyFill="1" applyBorder="1" applyAlignment="1">
      <alignment horizontal="center"/>
    </xf>
    <xf numFmtId="0" fontId="13" fillId="2" borderId="11" xfId="2" applyFont="1" applyFill="1" applyBorder="1" applyAlignment="1">
      <alignment horizontal="center"/>
    </xf>
    <xf numFmtId="16" fontId="8" fillId="2" borderId="12" xfId="2" applyNumberFormat="1" applyFont="1" applyFill="1" applyBorder="1" applyAlignment="1">
      <alignment horizontal="center" vertical="center"/>
    </xf>
    <xf numFmtId="0" fontId="14" fillId="2" borderId="13" xfId="2" applyFont="1" applyFill="1" applyBorder="1" applyAlignment="1">
      <alignment horizontal="center" vertical="center"/>
    </xf>
    <xf numFmtId="0" fontId="14" fillId="2" borderId="8" xfId="2" applyFont="1" applyFill="1" applyBorder="1" applyAlignment="1">
      <alignment horizontal="center" vertical="center"/>
    </xf>
    <xf numFmtId="0" fontId="14" fillId="2" borderId="14" xfId="2" applyFont="1" applyFill="1" applyBorder="1" applyAlignment="1">
      <alignment horizontal="center" vertical="center"/>
    </xf>
    <xf numFmtId="164" fontId="6" fillId="0" borderId="0" xfId="2" applyNumberFormat="1" applyFont="1" applyAlignment="1">
      <alignment horizontal="left"/>
    </xf>
    <xf numFmtId="3" fontId="10" fillId="0" borderId="2" xfId="0" applyNumberFormat="1" applyFont="1" applyBorder="1" applyAlignment="1">
      <alignment horizontal="right"/>
    </xf>
    <xf numFmtId="3" fontId="10" fillId="0" borderId="2" xfId="2" applyNumberFormat="1" applyFont="1" applyBorder="1" applyAlignment="1">
      <alignment horizontal="right"/>
    </xf>
    <xf numFmtId="0" fontId="10" fillId="0" borderId="0" xfId="2" applyFont="1"/>
    <xf numFmtId="164" fontId="10" fillId="0" borderId="2" xfId="2" applyNumberFormat="1" applyFont="1" applyBorder="1" applyAlignment="1">
      <alignment horizontal="center"/>
    </xf>
    <xf numFmtId="3" fontId="10" fillId="0" borderId="2" xfId="2" applyNumberFormat="1" applyFont="1" applyBorder="1" applyAlignment="1">
      <alignment horizontal="center"/>
    </xf>
    <xf numFmtId="14" fontId="6" fillId="0" borderId="0" xfId="2" applyNumberFormat="1" applyFont="1" applyAlignment="1">
      <alignment horizontal="left"/>
    </xf>
    <xf numFmtId="164" fontId="15" fillId="0" borderId="0" xfId="2" applyNumberFormat="1" applyFont="1" applyAlignment="1">
      <alignment horizontal="left"/>
    </xf>
    <xf numFmtId="0" fontId="10" fillId="0" borderId="2" xfId="2" applyFont="1" applyBorder="1" applyAlignment="1">
      <alignment horizontal="left"/>
    </xf>
    <xf numFmtId="0" fontId="6" fillId="0" borderId="0" xfId="2" applyFont="1" applyAlignment="1">
      <alignment horizontal="center"/>
    </xf>
    <xf numFmtId="0" fontId="10" fillId="0" borderId="0" xfId="2" applyFont="1" applyAlignment="1">
      <alignment horizontal="left"/>
    </xf>
    <xf numFmtId="164" fontId="10" fillId="0" borderId="0" xfId="2" applyNumberFormat="1" applyFont="1" applyAlignment="1">
      <alignment horizontal="left"/>
    </xf>
    <xf numFmtId="0" fontId="16" fillId="0" borderId="0" xfId="2" applyFont="1" applyAlignment="1">
      <alignment horizontal="left"/>
    </xf>
    <xf numFmtId="1" fontId="10" fillId="0" borderId="0" xfId="2" applyNumberFormat="1" applyFont="1" applyAlignment="1">
      <alignment horizontal="left"/>
    </xf>
    <xf numFmtId="3" fontId="10" fillId="0" borderId="0" xfId="2" applyNumberFormat="1" applyFont="1" applyAlignment="1">
      <alignment horizontal="left"/>
    </xf>
    <xf numFmtId="3" fontId="6" fillId="0" borderId="0" xfId="2" applyNumberFormat="1" applyFont="1" applyAlignment="1">
      <alignment horizontal="left"/>
    </xf>
    <xf numFmtId="0" fontId="9" fillId="0" borderId="1" xfId="2" applyFont="1" applyBorder="1" applyAlignment="1">
      <alignment horizontal="center"/>
    </xf>
    <xf numFmtId="0" fontId="17" fillId="2" borderId="0" xfId="2" applyFont="1" applyFill="1" applyAlignment="1">
      <alignment horizontal="center" vertical="center"/>
    </xf>
    <xf numFmtId="16" fontId="8" fillId="2" borderId="2" xfId="2" applyNumberFormat="1" applyFont="1" applyFill="1" applyBorder="1" applyAlignment="1">
      <alignment horizontal="center" vertical="center"/>
    </xf>
    <xf numFmtId="0" fontId="13" fillId="2" borderId="15" xfId="2" applyFont="1" applyFill="1" applyBorder="1" applyAlignment="1">
      <alignment horizontal="center" vertical="center"/>
    </xf>
    <xf numFmtId="0" fontId="13" fillId="2" borderId="16" xfId="2" applyFont="1" applyFill="1" applyBorder="1" applyAlignment="1">
      <alignment horizontal="center" vertical="center"/>
    </xf>
    <xf numFmtId="0" fontId="13" fillId="2" borderId="17" xfId="2" applyFont="1" applyFill="1" applyBorder="1" applyAlignment="1">
      <alignment horizontal="center" vertical="center"/>
    </xf>
    <xf numFmtId="0" fontId="13" fillId="2" borderId="18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/>
    </xf>
    <xf numFmtId="0" fontId="13" fillId="2" borderId="19" xfId="2" applyFont="1" applyFill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1" fontId="6" fillId="0" borderId="20" xfId="2" applyNumberFormat="1" applyFont="1" applyBorder="1" applyAlignment="1">
      <alignment horizontal="left"/>
    </xf>
    <xf numFmtId="1" fontId="6" fillId="0" borderId="2" xfId="2" applyNumberFormat="1" applyFont="1" applyBorder="1" applyAlignment="1">
      <alignment horizontal="left"/>
    </xf>
    <xf numFmtId="3" fontId="10" fillId="0" borderId="3" xfId="2" applyNumberFormat="1" applyFont="1" applyBorder="1" applyAlignment="1">
      <alignment horizontal="center"/>
    </xf>
    <xf numFmtId="3" fontId="10" fillId="0" borderId="4" xfId="2" applyNumberFormat="1" applyFont="1" applyBorder="1" applyAlignment="1">
      <alignment horizontal="center"/>
    </xf>
    <xf numFmtId="3" fontId="10" fillId="0" borderId="5" xfId="2" applyNumberFormat="1" applyFont="1" applyBorder="1" applyAlignment="1">
      <alignment horizontal="center"/>
    </xf>
    <xf numFmtId="0" fontId="6" fillId="0" borderId="21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6" fillId="2" borderId="0" xfId="2" applyFont="1" applyFill="1" applyAlignment="1">
      <alignment horizontal="left"/>
    </xf>
    <xf numFmtId="0" fontId="6" fillId="2" borderId="0" xfId="2" applyFont="1" applyFill="1"/>
    <xf numFmtId="16" fontId="6" fillId="0" borderId="2" xfId="2" applyNumberFormat="1" applyFont="1" applyBorder="1" applyAlignment="1">
      <alignment horizontal="center" vertical="center"/>
    </xf>
    <xf numFmtId="1" fontId="10" fillId="0" borderId="2" xfId="2" applyNumberFormat="1" applyFont="1" applyBorder="1" applyAlignment="1">
      <alignment horizontal="center"/>
    </xf>
    <xf numFmtId="9" fontId="10" fillId="0" borderId="0" xfId="1" applyFont="1" applyFill="1" applyAlignment="1">
      <alignment horizontal="left"/>
    </xf>
    <xf numFmtId="9" fontId="6" fillId="0" borderId="0" xfId="1" applyFont="1" applyFill="1" applyAlignment="1">
      <alignment horizontal="center"/>
    </xf>
    <xf numFmtId="0" fontId="10" fillId="0" borderId="2" xfId="2" applyFont="1" applyBorder="1" applyAlignment="1">
      <alignment horizontal="center"/>
    </xf>
    <xf numFmtId="3" fontId="18" fillId="0" borderId="2" xfId="2" applyNumberFormat="1" applyFont="1" applyBorder="1" applyAlignment="1">
      <alignment horizontal="left"/>
    </xf>
  </cellXfs>
  <cellStyles count="4">
    <cellStyle name="Hipervínculo" xfId="3" builtinId="8"/>
    <cellStyle name="Normal" xfId="0" builtinId="0"/>
    <cellStyle name="Normal 2" xfId="2" xr:uid="{FACB450C-4D88-034E-97C9-398E842310ED}"/>
    <cellStyle name="Porcentaj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2.xml"/><Relationship Id="rId9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KILÓMETROS RECORRIDOS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'Captura check  list'!$BS$34</c:f>
              <c:strCache>
                <c:ptCount val="1"/>
                <c:pt idx="0">
                  <c:v>KM SEM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[1]Disponibilidad!$A$3:$A$25</c:f>
              <c:numCache>
                <c:formatCode>General</c:formatCode>
                <c:ptCount val="23"/>
                <c:pt idx="0">
                  <c:v>2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</c:numCache>
            </c:numRef>
          </c:cat>
          <c:val>
            <c:numRef>
              <c:f>'Captura check  list'!$BS$35:$BS$57</c:f>
              <c:numCache>
                <c:formatCode>#,##0</c:formatCode>
                <c:ptCount val="23"/>
                <c:pt idx="0">
                  <c:v>251</c:v>
                </c:pt>
                <c:pt idx="1">
                  <c:v>315</c:v>
                </c:pt>
                <c:pt idx="2">
                  <c:v>105</c:v>
                </c:pt>
                <c:pt idx="3">
                  <c:v>770</c:v>
                </c:pt>
                <c:pt idx="4">
                  <c:v>1269</c:v>
                </c:pt>
                <c:pt idx="5">
                  <c:v>1602</c:v>
                </c:pt>
                <c:pt idx="6">
                  <c:v>395</c:v>
                </c:pt>
                <c:pt idx="7">
                  <c:v>1014</c:v>
                </c:pt>
                <c:pt idx="8">
                  <c:v>307</c:v>
                </c:pt>
                <c:pt idx="9">
                  <c:v>873</c:v>
                </c:pt>
                <c:pt idx="10">
                  <c:v>1472</c:v>
                </c:pt>
                <c:pt idx="11">
                  <c:v>1512</c:v>
                </c:pt>
                <c:pt idx="12">
                  <c:v>832</c:v>
                </c:pt>
                <c:pt idx="13">
                  <c:v>1250</c:v>
                </c:pt>
                <c:pt idx="14">
                  <c:v>523</c:v>
                </c:pt>
                <c:pt idx="15">
                  <c:v>1091</c:v>
                </c:pt>
                <c:pt idx="16">
                  <c:v>829</c:v>
                </c:pt>
                <c:pt idx="17">
                  <c:v>919</c:v>
                </c:pt>
                <c:pt idx="18">
                  <c:v>698</c:v>
                </c:pt>
                <c:pt idx="19">
                  <c:v>1713</c:v>
                </c:pt>
                <c:pt idx="20">
                  <c:v>1019</c:v>
                </c:pt>
                <c:pt idx="21">
                  <c:v>1485</c:v>
                </c:pt>
                <c:pt idx="22">
                  <c:v>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6-B24B-BE66-74F96BB060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2793728"/>
        <c:axId val="82788352"/>
      </c:barChart>
      <c:catAx>
        <c:axId val="8279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2788352"/>
        <c:crosses val="autoZero"/>
        <c:auto val="1"/>
        <c:lblAlgn val="ctr"/>
        <c:lblOffset val="100"/>
        <c:noMultiLvlLbl val="0"/>
      </c:catAx>
      <c:valAx>
        <c:axId val="8278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279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Cumplimiento de realización y envío de check</a:t>
            </a:r>
            <a:r>
              <a:rPr lang="es-MX" baseline="0"/>
              <a:t> list 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'Captura check  list'!$A$62:$A$84</c:f>
            </c:strRef>
          </c:cat>
          <c:val>
            <c:numRef>
              <c:f>'Captura check  list'!$BU$62:$BU$84</c:f>
            </c:numRef>
          </c:val>
          <c:extLst>
            <c:ext xmlns:c16="http://schemas.microsoft.com/office/drawing/2014/chart" uri="{C3380CC4-5D6E-409C-BE32-E72D297353CC}">
              <c16:uniqueId val="{00000000-2998-4649-A209-BA8B6A59BD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52866688"/>
        <c:axId val="1752868480"/>
      </c:barChart>
      <c:catAx>
        <c:axId val="1752866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2868480"/>
        <c:crosses val="autoZero"/>
        <c:auto val="1"/>
        <c:lblAlgn val="ctr"/>
        <c:lblOffset val="100"/>
        <c:noMultiLvlLbl val="0"/>
      </c:catAx>
      <c:valAx>
        <c:axId val="175286848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5286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accent1"/>
                </a:solidFill>
                <a:latin typeface="Merriweather SemiBold 18pt" pitchFamily="2" charset="77"/>
                <a:ea typeface="Merriweather SemiBold 18pt" pitchFamily="2" charset="77"/>
                <a:cs typeface="Merriweather SemiBold 18pt" pitchFamily="2" charset="77"/>
              </a:defRPr>
            </a:pPr>
            <a:r>
              <a:rPr lang="es-MX" sz="1200" b="1" i="0">
                <a:solidFill>
                  <a:schemeClr val="accent1"/>
                </a:solidFill>
                <a:latin typeface="Merriweather SemiBold 18pt" pitchFamily="2" charset="77"/>
                <a:ea typeface="Merriweather SemiBold 18pt" pitchFamily="2" charset="77"/>
                <a:cs typeface="Merriweather SemiBold 18pt" pitchFamily="2" charset="77"/>
              </a:rPr>
              <a:t>Envío de check list mes de enero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accent1"/>
              </a:solidFill>
              <a:latin typeface="Merriweather SemiBold 18pt" pitchFamily="2" charset="77"/>
              <a:ea typeface="Merriweather SemiBold 18pt" pitchFamily="2" charset="77"/>
              <a:cs typeface="Merriweather SemiBold 18pt" pitchFamily="2" charset="77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Roboto Mono" pitchFamily="2" charset="0"/>
                    <a:ea typeface="Roboto Mono" pitchFamily="2" charset="0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'Captura check  list'!$A$62:$A$84</c:f>
            </c:strRef>
          </c:cat>
          <c:val>
            <c:numRef>
              <c:f>'Captura check  list'!$AF$62:$AF$84</c:f>
            </c:numRef>
          </c:val>
          <c:extLst>
            <c:ext xmlns:c16="http://schemas.microsoft.com/office/drawing/2014/chart" uri="{C3380CC4-5D6E-409C-BE32-E72D297353CC}">
              <c16:uniqueId val="{00000000-4C32-DD45-9D9E-0D721F60C6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7"/>
        <c:overlap val="-4"/>
        <c:axId val="1466743680"/>
        <c:axId val="1523561600"/>
      </c:barChart>
      <c:catAx>
        <c:axId val="146674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rlow" pitchFamily="2" charset="77"/>
                <a:ea typeface="Merriweather Medium 18pt" pitchFamily="2" charset="77"/>
                <a:cs typeface="Merriweather Medium 18pt" pitchFamily="2" charset="77"/>
              </a:defRPr>
            </a:pPr>
            <a:endParaRPr lang="es-MX"/>
          </a:p>
        </c:txPr>
        <c:crossAx val="1523561600"/>
        <c:crosses val="autoZero"/>
        <c:auto val="1"/>
        <c:lblAlgn val="ctr"/>
        <c:lblOffset val="100"/>
        <c:noMultiLvlLbl val="0"/>
      </c:catAx>
      <c:valAx>
        <c:axId val="1523561600"/>
        <c:scaling>
          <c:orientation val="minMax"/>
          <c:max val="1.2"/>
        </c:scaling>
        <c:delete val="1"/>
        <c:axPos val="l"/>
        <c:numFmt formatCode="0%" sourceLinked="1"/>
        <c:majorTickMark val="none"/>
        <c:minorTickMark val="none"/>
        <c:tickLblPos val="nextTo"/>
        <c:crossAx val="14667436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693898</xdr:colOff>
      <xdr:row>1</xdr:row>
      <xdr:rowOff>59513</xdr:rowOff>
    </xdr:from>
    <xdr:to>
      <xdr:col>0</xdr:col>
      <xdr:colOff>4637852</xdr:colOff>
      <xdr:row>1</xdr:row>
      <xdr:rowOff>492853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777074E-1BA9-BC48-8B4E-052ED74E09F2}"/>
            </a:ext>
          </a:extLst>
        </xdr:cNvPr>
        <xdr:cNvSpPr txBox="1"/>
      </xdr:nvSpPr>
      <xdr:spPr>
        <a:xfrm>
          <a:off x="693898" y="173813"/>
          <a:ext cx="3474054" cy="433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>
              <a:latin typeface="Tenorite" pitchFamily="2" charset="0"/>
            </a:rPr>
            <a:t>ARIAN</a:t>
          </a:r>
          <a:r>
            <a:rPr lang="es-MX" sz="1100" b="1" baseline="0">
              <a:latin typeface="Tenorite" pitchFamily="2" charset="0"/>
            </a:rPr>
            <a:t> SILVER DE MÉXICO SA DE CV </a:t>
          </a:r>
        </a:p>
        <a:p>
          <a:pPr algn="ctr"/>
          <a:r>
            <a:rPr lang="es-MX" sz="1100" b="1" baseline="0">
              <a:latin typeface="Tenorite" pitchFamily="2" charset="0"/>
            </a:rPr>
            <a:t>PLANEACIÓN MANTENIMIENTO MINA</a:t>
          </a:r>
          <a:endParaRPr lang="es-MX" sz="1100" b="1">
            <a:latin typeface="Tenorite" pitchFamily="2" charset="0"/>
          </a:endParaRPr>
        </a:p>
      </xdr:txBody>
    </xdr:sp>
    <xdr:clientData/>
  </xdr:twoCellAnchor>
  <xdr:twoCellAnchor>
    <xdr:from>
      <xdr:col>69</xdr:col>
      <xdr:colOff>66040</xdr:colOff>
      <xdr:row>31</xdr:row>
      <xdr:rowOff>177800</xdr:rowOff>
    </xdr:from>
    <xdr:to>
      <xdr:col>80</xdr:col>
      <xdr:colOff>274320</xdr:colOff>
      <xdr:row>57</xdr:row>
      <xdr:rowOff>20320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93921792-CB53-EB4C-9B8C-25A48AC4F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44450</xdr:colOff>
      <xdr:row>57</xdr:row>
      <xdr:rowOff>169331</xdr:rowOff>
    </xdr:from>
    <xdr:to>
      <xdr:col>80</xdr:col>
      <xdr:colOff>211667</xdr:colOff>
      <xdr:row>87</xdr:row>
      <xdr:rowOff>42334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5C97157-4762-7840-91BA-A62BA0DFE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219246</xdr:colOff>
      <xdr:row>61</xdr:row>
      <xdr:rowOff>2513</xdr:rowOff>
    </xdr:from>
    <xdr:to>
      <xdr:col>59</xdr:col>
      <xdr:colOff>118487</xdr:colOff>
      <xdr:row>86</xdr:row>
      <xdr:rowOff>165099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121EF0A-2B19-8F41-8169-16C404D4A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usionsilver.sharepoint.com/Mina/Planeacin%20Mantenimiento/Mantenimiento%20Mina%201.0/12%20Flotilla%20Vehicular/Administracio&#769;n%20flotilla%20vehicular%202026%20.xlsx" TargetMode="External"/><Relationship Id="rId1" Type="http://schemas.openxmlformats.org/officeDocument/2006/relationships/externalLinkPath" Target="https://fusionsilver.sharepoint.com/Mina/Planeacin%20Mantenimiento/Mantenimiento%20Mina%201.0/12%20Flotilla%20Vehicular/Administracio&#769;n%20flotilla%20vehicular%202026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usionsilver.sharepoint.com/Mina/Planeacin%20Mantenimiento/Mantenimiento%20Mina%201.0/12%20Flotilla%20Vehicular/Control%20de%20Flotilla%202025%20v1.xlsb" TargetMode="External"/><Relationship Id="rId1" Type="http://schemas.openxmlformats.org/officeDocument/2006/relationships/externalLinkPath" Target="https://fusionsilver.sharepoint.com/Mina/Planeacin%20Mantenimiento/Mantenimiento%20Mina%201.0/12%20Flotilla%20Vehicular/Control%20de%20Flotilla%202025%20v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P control"/>
      <sheetName val="Captura check  list"/>
      <sheetName val="Disponibilidad"/>
      <sheetName val="Mural de MP "/>
      <sheetName val="Control de costo "/>
      <sheetName val="Control de costo  (2)"/>
    </sheetNames>
    <sheetDataSet>
      <sheetData sheetId="0"/>
      <sheetData sheetId="1">
        <row r="34">
          <cell r="BS34" t="str">
            <v>KM SEM</v>
          </cell>
        </row>
        <row r="35">
          <cell r="BS35">
            <v>251</v>
          </cell>
        </row>
        <row r="36">
          <cell r="BS36">
            <v>315</v>
          </cell>
        </row>
        <row r="37">
          <cell r="BS37">
            <v>105</v>
          </cell>
        </row>
        <row r="38">
          <cell r="BS38">
            <v>770</v>
          </cell>
        </row>
        <row r="39">
          <cell r="BS39">
            <v>1269</v>
          </cell>
        </row>
        <row r="40">
          <cell r="BS40">
            <v>1602</v>
          </cell>
        </row>
        <row r="41">
          <cell r="BS41">
            <v>395</v>
          </cell>
        </row>
        <row r="42">
          <cell r="BS42">
            <v>1014</v>
          </cell>
        </row>
        <row r="43">
          <cell r="BS43">
            <v>307</v>
          </cell>
        </row>
        <row r="44">
          <cell r="BS44">
            <v>873</v>
          </cell>
        </row>
        <row r="45">
          <cell r="BS45">
            <v>1472</v>
          </cell>
        </row>
        <row r="46">
          <cell r="BS46">
            <v>1512</v>
          </cell>
        </row>
        <row r="47">
          <cell r="BS47">
            <v>832</v>
          </cell>
        </row>
        <row r="48">
          <cell r="BS48">
            <v>1250</v>
          </cell>
        </row>
        <row r="49">
          <cell r="BS49">
            <v>523</v>
          </cell>
        </row>
        <row r="50">
          <cell r="BS50">
            <v>1091</v>
          </cell>
        </row>
        <row r="51">
          <cell r="BS51">
            <v>829</v>
          </cell>
        </row>
        <row r="52">
          <cell r="BS52">
            <v>919</v>
          </cell>
        </row>
        <row r="53">
          <cell r="BS53">
            <v>698</v>
          </cell>
        </row>
        <row r="54">
          <cell r="BS54">
            <v>1713</v>
          </cell>
        </row>
        <row r="55">
          <cell r="BS55">
            <v>1019</v>
          </cell>
        </row>
        <row r="56">
          <cell r="BS56">
            <v>1485</v>
          </cell>
        </row>
        <row r="57">
          <cell r="BS57">
            <v>1125</v>
          </cell>
        </row>
        <row r="62">
          <cell r="A62" t="str">
            <v>ASM-002HiluxMedio Ambiente ZH-3163-B</v>
          </cell>
          <cell r="AF62">
            <v>1</v>
          </cell>
          <cell r="BU62">
            <v>1</v>
          </cell>
        </row>
        <row r="63">
          <cell r="A63" t="str">
            <v>ASM-006FrontierMedio Ambiente ZH-3161-B</v>
          </cell>
          <cell r="AF63">
            <v>1</v>
          </cell>
          <cell r="BU63">
            <v>1</v>
          </cell>
        </row>
        <row r="64">
          <cell r="A64" t="str">
            <v>ASM-007NP 300LaboratorioZH-3160-B</v>
          </cell>
          <cell r="AF64">
            <v>0</v>
          </cell>
          <cell r="BU64">
            <v>0.2</v>
          </cell>
        </row>
        <row r="65">
          <cell r="A65" t="str">
            <v>ASM-008HiluxOperación Mina TP-0477-H</v>
          </cell>
          <cell r="AF65">
            <v>0.25</v>
          </cell>
          <cell r="BU65">
            <v>0.6</v>
          </cell>
        </row>
        <row r="66">
          <cell r="A66" t="str">
            <v>ASM-009NissanVersaVEH-746-D</v>
          </cell>
          <cell r="AF66">
            <v>1</v>
          </cell>
          <cell r="BU66">
            <v>1</v>
          </cell>
        </row>
        <row r="67">
          <cell r="A67" t="str">
            <v>ASM-010ChevroletAveoUXS-682-E</v>
          </cell>
          <cell r="AF67">
            <v>0.25</v>
          </cell>
          <cell r="BU67">
            <v>0.8</v>
          </cell>
        </row>
        <row r="68">
          <cell r="A68" t="str">
            <v>ASM-011Ram 4000Mantenimiento PlantaZH-3152-B</v>
          </cell>
          <cell r="AF68">
            <v>1</v>
          </cell>
          <cell r="BU68">
            <v>1</v>
          </cell>
        </row>
        <row r="69">
          <cell r="A69" t="str">
            <v>ASM-012L200 Gerencia GeneralZD-1550-B</v>
          </cell>
          <cell r="AF69">
            <v>0</v>
          </cell>
          <cell r="BU69">
            <v>0.2</v>
          </cell>
        </row>
        <row r="70">
          <cell r="A70" t="str">
            <v>ASM-013L200 Seguridad IndustrialZD-1551-B</v>
          </cell>
          <cell r="AF70">
            <v>1</v>
          </cell>
          <cell r="BU70">
            <v>1</v>
          </cell>
        </row>
        <row r="71">
          <cell r="A71" t="str">
            <v>ASM-014L200 GeologíaZD-1552-B</v>
          </cell>
          <cell r="AF71">
            <v>0</v>
          </cell>
          <cell r="BU71">
            <v>0</v>
          </cell>
        </row>
        <row r="72">
          <cell r="A72" t="str">
            <v>ASM-015YarisAdministraciónZHY-780-E</v>
          </cell>
          <cell r="AF72">
            <v>0</v>
          </cell>
          <cell r="BU72">
            <v>0</v>
          </cell>
        </row>
        <row r="73">
          <cell r="A73" t="str">
            <v>ASM-016Ram 700 Operación PlantaYW-8191-D</v>
          </cell>
          <cell r="AF73">
            <v>1</v>
          </cell>
          <cell r="BU73">
            <v>1</v>
          </cell>
        </row>
        <row r="74">
          <cell r="A74" t="str">
            <v>ASM-017HiluxMantenimiento Eléctrico Mina  TK-9722-H</v>
          </cell>
          <cell r="AF74">
            <v>1</v>
          </cell>
          <cell r="BU74">
            <v>1</v>
          </cell>
        </row>
        <row r="75">
          <cell r="A75" t="str">
            <v>ASM-018KiaRioPCZ-11-91</v>
          </cell>
          <cell r="AF75">
            <v>1</v>
          </cell>
          <cell r="BU75">
            <v>1</v>
          </cell>
        </row>
        <row r="76">
          <cell r="A76" t="str">
            <v>ASM-019HiluxPlaneaciónTJ-7355-F</v>
          </cell>
          <cell r="AF76">
            <v>1</v>
          </cell>
          <cell r="BU76">
            <v>0.8</v>
          </cell>
        </row>
        <row r="77">
          <cell r="A77" t="str">
            <v>ASM-020HiluxExploraciónP TG7053-H</v>
          </cell>
          <cell r="AF77">
            <v>0</v>
          </cell>
          <cell r="BU77">
            <v>0.2</v>
          </cell>
        </row>
        <row r="78">
          <cell r="A78" t="str">
            <v>ASM-021HiluxPlaneaciónTM-33-95-G</v>
          </cell>
          <cell r="AF78">
            <v>1</v>
          </cell>
          <cell r="BU78">
            <v>0.8</v>
          </cell>
        </row>
        <row r="79">
          <cell r="A79" t="str">
            <v>ASM-022YarisRelaciones Comunitarias UWY-713-D</v>
          </cell>
          <cell r="AF79">
            <v>1</v>
          </cell>
          <cell r="BU79">
            <v>1</v>
          </cell>
        </row>
        <row r="80">
          <cell r="A80" t="str">
            <v>ASM-023SeatAtecaUYM-047-C (VERSA PLATA PROVISIONAL)</v>
          </cell>
          <cell r="AF80">
            <v>1</v>
          </cell>
          <cell r="BU80">
            <v>0.2</v>
          </cell>
        </row>
        <row r="81">
          <cell r="A81" t="str">
            <v>ASM-024Frision T8 4x4Seguridad PatrimonialYW-7900-D</v>
          </cell>
          <cell r="AF81">
            <v>0</v>
          </cell>
          <cell r="BU81">
            <v>0</v>
          </cell>
        </row>
        <row r="82">
          <cell r="A82" t="str">
            <v>ASM-025JACX200Administración-ZA-6811-D</v>
          </cell>
          <cell r="AF82">
            <v>0</v>
          </cell>
          <cell r="BU82">
            <v>0</v>
          </cell>
        </row>
        <row r="83">
          <cell r="A83" t="str">
            <v>ASM-026HiluxGeología TL-8939-H</v>
          </cell>
          <cell r="AF83">
            <v>0</v>
          </cell>
          <cell r="BU83">
            <v>0</v>
          </cell>
        </row>
        <row r="84">
          <cell r="A84" t="str">
            <v>ASM-027HiluxOperación Mina TN-920-H</v>
          </cell>
          <cell r="AF84">
            <v>0</v>
          </cell>
          <cell r="BU84">
            <v>0.2</v>
          </cell>
        </row>
      </sheetData>
      <sheetData sheetId="2">
        <row r="3">
          <cell r="A3">
            <v>2</v>
          </cell>
        </row>
        <row r="4">
          <cell r="A4">
            <v>6</v>
          </cell>
        </row>
        <row r="5">
          <cell r="A5">
            <v>7</v>
          </cell>
        </row>
        <row r="6">
          <cell r="A6">
            <v>8</v>
          </cell>
        </row>
        <row r="7">
          <cell r="A7">
            <v>9</v>
          </cell>
        </row>
        <row r="8">
          <cell r="A8">
            <v>10</v>
          </cell>
        </row>
        <row r="9">
          <cell r="A9">
            <v>11</v>
          </cell>
        </row>
        <row r="10">
          <cell r="A10">
            <v>12</v>
          </cell>
        </row>
        <row r="11">
          <cell r="A11">
            <v>13</v>
          </cell>
        </row>
        <row r="12">
          <cell r="A12">
            <v>14</v>
          </cell>
        </row>
        <row r="13">
          <cell r="A13">
            <v>15</v>
          </cell>
        </row>
        <row r="14">
          <cell r="A14">
            <v>16</v>
          </cell>
        </row>
        <row r="15">
          <cell r="A15">
            <v>17</v>
          </cell>
        </row>
        <row r="16">
          <cell r="A16">
            <v>18</v>
          </cell>
        </row>
        <row r="17">
          <cell r="A17">
            <v>19</v>
          </cell>
        </row>
        <row r="18">
          <cell r="A18">
            <v>20</v>
          </cell>
        </row>
        <row r="19">
          <cell r="A19">
            <v>21</v>
          </cell>
        </row>
        <row r="20">
          <cell r="A20">
            <v>22</v>
          </cell>
        </row>
        <row r="21">
          <cell r="A21">
            <v>23</v>
          </cell>
        </row>
        <row r="22">
          <cell r="A22">
            <v>24</v>
          </cell>
        </row>
        <row r="23">
          <cell r="A23">
            <v>25</v>
          </cell>
        </row>
        <row r="24">
          <cell r="A24">
            <v>26</v>
          </cell>
        </row>
        <row r="25">
          <cell r="A25">
            <v>27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eador"/>
      <sheetName val="mp control"/>
      <sheetName val="Hoja3"/>
      <sheetName val="Bitácora"/>
      <sheetName val="Captura check  list"/>
      <sheetName val="Hoja2"/>
      <sheetName val="Hoja1"/>
      <sheetName val="BACK LOG.."/>
      <sheetName val="Explicación"/>
      <sheetName val="Cuentas Contables"/>
      <sheetName val="Historial Mantenimientos "/>
      <sheetName val="Budget 2026"/>
      <sheetName val="Segumiento "/>
      <sheetName val="CUMPLIMIENTO"/>
      <sheetName val="Hoja5"/>
      <sheetName val="Disponibilidad"/>
      <sheetName val="Captura check li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ADF5-65A6-4049-8FF3-461F26F536F3}">
  <sheetPr>
    <tabColor theme="1"/>
  </sheetPr>
  <dimension ref="A1:V33"/>
  <sheetViews>
    <sheetView showGridLines="0" tabSelected="1" zoomScale="130" zoomScaleNormal="130" workbookViewId="0">
      <pane xSplit="1" ySplit="8" topLeftCell="L9" activePane="bottomRight" state="frozen"/>
      <selection activeCell="D15" sqref="D15"/>
      <selection pane="topRight" activeCell="D15" sqref="D15"/>
      <selection pane="bottomLeft" activeCell="D15" sqref="D15"/>
      <selection pane="bottomRight" activeCell="L14" sqref="L14"/>
    </sheetView>
  </sheetViews>
  <sheetFormatPr baseColWidth="10" defaultColWidth="17.83203125" defaultRowHeight="13" x14ac:dyDescent="0.15"/>
  <cols>
    <col min="1" max="1" width="52.1640625" style="1" bestFit="1" customWidth="1"/>
    <col min="2" max="2" width="13.33203125" style="1" bestFit="1" customWidth="1"/>
    <col min="3" max="3" width="16.33203125" style="1" bestFit="1" customWidth="1"/>
    <col min="4" max="4" width="17.6640625" style="1" bestFit="1" customWidth="1"/>
    <col min="5" max="5" width="12.33203125" style="1" bestFit="1" customWidth="1"/>
    <col min="6" max="6" width="6.33203125" style="1" bestFit="1" customWidth="1"/>
    <col min="7" max="7" width="9.6640625" style="1" bestFit="1" customWidth="1"/>
    <col min="8" max="8" width="9.33203125" style="1" bestFit="1" customWidth="1"/>
    <col min="9" max="9" width="17.6640625" style="1" bestFit="1" customWidth="1"/>
    <col min="10" max="10" width="17.1640625" style="1" bestFit="1" customWidth="1"/>
    <col min="11" max="11" width="9.33203125" style="1" bestFit="1" customWidth="1"/>
    <col min="12" max="12" width="6.33203125" style="1" bestFit="1" customWidth="1"/>
    <col min="13" max="13" width="8.5" style="1" bestFit="1" customWidth="1"/>
    <col min="14" max="14" width="11.5" style="1" bestFit="1" customWidth="1"/>
    <col min="15" max="15" width="14.1640625" style="1" bestFit="1" customWidth="1"/>
    <col min="16" max="16" width="19.1640625" style="1" bestFit="1" customWidth="1"/>
    <col min="17" max="17" width="20.1640625" style="1" bestFit="1" customWidth="1"/>
    <col min="18" max="18" width="19.83203125" style="1" bestFit="1" customWidth="1"/>
    <col min="19" max="19" width="16.83203125" style="1" bestFit="1" customWidth="1"/>
    <col min="20" max="20" width="17.33203125" style="1" bestFit="1" customWidth="1"/>
    <col min="21" max="21" width="15.33203125" style="1" bestFit="1" customWidth="1"/>
    <col min="22" max="22" width="16.83203125" style="1" bestFit="1" customWidth="1"/>
    <col min="23" max="16384" width="17.83203125" style="1"/>
  </cols>
  <sheetData>
    <row r="1" spans="1:22" ht="12" customHeight="1" x14ac:dyDescent="0.15"/>
    <row r="2" spans="1:22" ht="18" x14ac:dyDescent="0.15">
      <c r="A2" s="2" t="s">
        <v>0</v>
      </c>
      <c r="B2" s="2"/>
      <c r="C2" s="3"/>
      <c r="D2" s="3"/>
      <c r="E2" s="3"/>
      <c r="F2" s="3"/>
      <c r="G2" s="3"/>
      <c r="H2" s="3"/>
      <c r="I2" s="3"/>
      <c r="J2" s="4"/>
      <c r="K2" s="4"/>
    </row>
    <row r="3" spans="1:22" ht="13.25" customHeight="1" x14ac:dyDescent="0.15">
      <c r="A3" s="3"/>
      <c r="B3" s="3"/>
      <c r="C3" s="3"/>
      <c r="D3" s="3"/>
      <c r="E3" s="3"/>
      <c r="F3" s="3"/>
      <c r="G3" s="3"/>
      <c r="H3" s="3"/>
      <c r="I3" s="3"/>
      <c r="J3" s="4"/>
      <c r="K3" s="4"/>
    </row>
    <row r="4" spans="1:22" ht="18" x14ac:dyDescent="0.15">
      <c r="A4" s="3"/>
      <c r="B4" s="3"/>
      <c r="C4" s="3"/>
      <c r="D4" s="3"/>
      <c r="E4" s="3"/>
      <c r="F4" s="3"/>
      <c r="G4" s="3"/>
      <c r="H4" s="3"/>
      <c r="I4" s="3"/>
      <c r="J4" s="4"/>
      <c r="K4" s="4"/>
    </row>
    <row r="5" spans="1:22" ht="31.25" customHeight="1" x14ac:dyDescent="0.15">
      <c r="A5" s="5"/>
      <c r="B5" s="5"/>
      <c r="C5" s="5"/>
      <c r="D5" s="5"/>
      <c r="E5" s="5"/>
      <c r="F5" s="5"/>
      <c r="G5" s="5"/>
      <c r="H5" s="5"/>
      <c r="I5" s="5"/>
      <c r="J5" s="6"/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ht="9" customHeight="1" x14ac:dyDescent="0.15">
      <c r="A6" s="8"/>
      <c r="B6" s="8"/>
      <c r="C6" s="8"/>
      <c r="D6" s="8"/>
      <c r="E6" s="8"/>
      <c r="F6" s="8"/>
      <c r="G6" s="8"/>
      <c r="H6" s="8"/>
      <c r="I6" s="8"/>
      <c r="J6" s="9"/>
      <c r="K6" s="9"/>
    </row>
    <row r="7" spans="1:22" s="16" customFormat="1" x14ac:dyDescent="0.15">
      <c r="A7" s="10" t="s">
        <v>1</v>
      </c>
      <c r="B7" s="10"/>
      <c r="C7" s="10"/>
      <c r="D7" s="10"/>
      <c r="E7" s="10"/>
      <c r="F7" s="10"/>
      <c r="G7" s="10"/>
      <c r="H7" s="10"/>
      <c r="I7" s="10"/>
      <c r="J7" s="11"/>
      <c r="K7" s="11"/>
      <c r="L7" s="12" t="s">
        <v>2</v>
      </c>
      <c r="M7" s="12"/>
      <c r="N7" s="12"/>
      <c r="O7" s="12"/>
      <c r="P7" s="13" t="s">
        <v>3</v>
      </c>
      <c r="Q7" s="14"/>
      <c r="R7" s="14"/>
      <c r="S7" s="14"/>
      <c r="T7" s="14"/>
      <c r="U7" s="14"/>
      <c r="V7" s="15"/>
    </row>
    <row r="8" spans="1:22" s="16" customFormat="1" x14ac:dyDescent="0.15">
      <c r="A8" s="11" t="s">
        <v>4</v>
      </c>
      <c r="B8" s="11" t="s">
        <v>5</v>
      </c>
      <c r="C8" s="11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11" t="s">
        <v>12</v>
      </c>
      <c r="J8" s="11" t="s">
        <v>13</v>
      </c>
      <c r="K8" s="11" t="s">
        <v>14</v>
      </c>
      <c r="L8" s="11" t="s">
        <v>15</v>
      </c>
      <c r="M8" s="11" t="s">
        <v>16</v>
      </c>
      <c r="N8" s="11" t="s">
        <v>17</v>
      </c>
      <c r="O8" s="11" t="s">
        <v>18</v>
      </c>
      <c r="P8" s="17" t="s">
        <v>19</v>
      </c>
      <c r="Q8" s="17" t="s">
        <v>20</v>
      </c>
      <c r="R8" s="11" t="s">
        <v>21</v>
      </c>
      <c r="S8" s="11" t="s">
        <v>22</v>
      </c>
      <c r="T8" s="11" t="s">
        <v>23</v>
      </c>
      <c r="U8" s="11" t="s">
        <v>24</v>
      </c>
      <c r="V8" s="11" t="s">
        <v>25</v>
      </c>
    </row>
    <row r="9" spans="1:22" s="25" customFormat="1" ht="15" customHeight="1" x14ac:dyDescent="0.15">
      <c r="A9" s="18" t="s">
        <v>26</v>
      </c>
      <c r="B9" s="18" t="s">
        <v>27</v>
      </c>
      <c r="C9" s="19" t="s">
        <v>28</v>
      </c>
      <c r="D9" s="19" t="s">
        <v>29</v>
      </c>
      <c r="E9" s="20" t="s">
        <v>30</v>
      </c>
      <c r="F9" s="20">
        <v>2007</v>
      </c>
      <c r="G9" s="20" t="s">
        <v>31</v>
      </c>
      <c r="H9" s="20" t="s">
        <v>32</v>
      </c>
      <c r="I9" s="20" t="s">
        <v>33</v>
      </c>
      <c r="J9" s="21" t="s">
        <v>34</v>
      </c>
      <c r="K9" s="21" t="s">
        <v>35</v>
      </c>
      <c r="L9" s="22">
        <v>180</v>
      </c>
      <c r="M9" s="22">
        <v>10000</v>
      </c>
      <c r="N9" s="23">
        <f>+'Captura check  list'!BO8</f>
        <v>35.857142857142854</v>
      </c>
      <c r="O9" s="22">
        <f>+'Captura check  list'!BQ8</f>
        <v>120763</v>
      </c>
      <c r="P9" s="22">
        <v>119728</v>
      </c>
      <c r="Q9" s="24">
        <v>46090</v>
      </c>
      <c r="R9" s="22">
        <f t="shared" ref="R9:R31" si="0">+P9+M9</f>
        <v>129728</v>
      </c>
      <c r="S9" s="24">
        <f ca="1">TODAY()+(T9/N9)</f>
        <v>46387.019920318722</v>
      </c>
      <c r="T9" s="22">
        <f t="shared" ref="T9:T31" si="1">+R9-O9</f>
        <v>8965</v>
      </c>
      <c r="U9" s="24">
        <f t="shared" ref="U9:U30" si="2">+Q9+L9</f>
        <v>46270</v>
      </c>
      <c r="V9" s="24">
        <f t="shared" ref="V9:V30" ca="1" si="3">IF(S9&gt;U9,U9,S9)</f>
        <v>46270</v>
      </c>
    </row>
    <row r="10" spans="1:22" s="25" customFormat="1" x14ac:dyDescent="0.15">
      <c r="A10" s="19" t="s">
        <v>36</v>
      </c>
      <c r="B10" s="19" t="s">
        <v>27</v>
      </c>
      <c r="C10" s="19" t="s">
        <v>28</v>
      </c>
      <c r="D10" s="19" t="s">
        <v>29</v>
      </c>
      <c r="E10" s="20" t="s">
        <v>37</v>
      </c>
      <c r="F10" s="20">
        <v>2016</v>
      </c>
      <c r="G10" s="20" t="s">
        <v>38</v>
      </c>
      <c r="H10" s="20" t="s">
        <v>39</v>
      </c>
      <c r="I10" s="20" t="s">
        <v>40</v>
      </c>
      <c r="J10" s="21" t="s">
        <v>41</v>
      </c>
      <c r="K10" s="21" t="s">
        <v>35</v>
      </c>
      <c r="L10" s="22">
        <v>180</v>
      </c>
      <c r="M10" s="22">
        <v>10000</v>
      </c>
      <c r="N10" s="23">
        <f>+'Captura check  list'!BO9</f>
        <v>45</v>
      </c>
      <c r="O10" s="22">
        <f>+'Captura check  list'!BQ9</f>
        <v>357833</v>
      </c>
      <c r="P10" s="22">
        <v>356944</v>
      </c>
      <c r="Q10" s="24">
        <v>46092</v>
      </c>
      <c r="R10" s="22">
        <f t="shared" si="0"/>
        <v>366944</v>
      </c>
      <c r="S10" s="24">
        <f t="shared" ref="S10:S31" ca="1" si="4">TODAY()+(T10/N10)</f>
        <v>46339.466666666667</v>
      </c>
      <c r="T10" s="22">
        <f t="shared" si="1"/>
        <v>9111</v>
      </c>
      <c r="U10" s="24">
        <f t="shared" si="2"/>
        <v>46272</v>
      </c>
      <c r="V10" s="24">
        <f ca="1">IF(S10&gt;U10,U10,S10)</f>
        <v>46272</v>
      </c>
    </row>
    <row r="11" spans="1:22" s="25" customFormat="1" x14ac:dyDescent="0.15">
      <c r="A11" s="19" t="s">
        <v>42</v>
      </c>
      <c r="B11" s="19" t="s">
        <v>43</v>
      </c>
      <c r="C11" s="19" t="s">
        <v>28</v>
      </c>
      <c r="D11" s="19" t="s">
        <v>44</v>
      </c>
      <c r="E11" s="20" t="s">
        <v>45</v>
      </c>
      <c r="F11" s="20">
        <v>2016</v>
      </c>
      <c r="G11" s="20" t="s">
        <v>38</v>
      </c>
      <c r="H11" s="20" t="s">
        <v>46</v>
      </c>
      <c r="I11" s="20" t="s">
        <v>47</v>
      </c>
      <c r="J11" s="21"/>
      <c r="K11" s="21" t="s">
        <v>35</v>
      </c>
      <c r="L11" s="22">
        <v>180</v>
      </c>
      <c r="M11" s="22">
        <v>10000</v>
      </c>
      <c r="N11" s="23">
        <f>+'Captura check  list'!BO10</f>
        <v>15</v>
      </c>
      <c r="O11" s="22">
        <f>+'Captura check  list'!BQ10</f>
        <v>327593</v>
      </c>
      <c r="P11" s="22">
        <v>327333</v>
      </c>
      <c r="Q11" s="24">
        <v>46092</v>
      </c>
      <c r="R11" s="22">
        <f t="shared" si="0"/>
        <v>337333</v>
      </c>
      <c r="S11" s="24">
        <f t="shared" ca="1" si="4"/>
        <v>46786.333333333336</v>
      </c>
      <c r="T11" s="22">
        <f t="shared" si="1"/>
        <v>9740</v>
      </c>
      <c r="U11" s="24">
        <f t="shared" si="2"/>
        <v>46272</v>
      </c>
      <c r="V11" s="24">
        <f t="shared" ca="1" si="3"/>
        <v>46272</v>
      </c>
    </row>
    <row r="12" spans="1:22" s="25" customFormat="1" x14ac:dyDescent="0.15">
      <c r="A12" s="19" t="s">
        <v>48</v>
      </c>
      <c r="B12" s="19" t="s">
        <v>27</v>
      </c>
      <c r="C12" s="19" t="s">
        <v>49</v>
      </c>
      <c r="D12" s="19" t="s">
        <v>50</v>
      </c>
      <c r="E12" s="20" t="s">
        <v>51</v>
      </c>
      <c r="F12" s="20">
        <v>2019</v>
      </c>
      <c r="G12" s="20" t="s">
        <v>52</v>
      </c>
      <c r="H12" s="20" t="s">
        <v>53</v>
      </c>
      <c r="I12" s="20" t="s">
        <v>54</v>
      </c>
      <c r="J12" s="20"/>
      <c r="K12" s="21" t="s">
        <v>35</v>
      </c>
      <c r="L12" s="22">
        <v>90</v>
      </c>
      <c r="M12" s="22">
        <v>5000</v>
      </c>
      <c r="N12" s="23">
        <f>+'Captura check  list'!BO11</f>
        <v>110</v>
      </c>
      <c r="O12" s="22">
        <f>+'Captura check  list'!BQ11</f>
        <v>25955</v>
      </c>
      <c r="P12" s="22">
        <v>23940</v>
      </c>
      <c r="Q12" s="24">
        <v>46107</v>
      </c>
      <c r="R12" s="22">
        <f t="shared" si="0"/>
        <v>28940</v>
      </c>
      <c r="S12" s="24">
        <f t="shared" ca="1" si="4"/>
        <v>46164.13636363636</v>
      </c>
      <c r="T12" s="22">
        <f t="shared" si="1"/>
        <v>2985</v>
      </c>
      <c r="U12" s="24">
        <f t="shared" si="2"/>
        <v>46197</v>
      </c>
      <c r="V12" s="24">
        <f t="shared" ca="1" si="3"/>
        <v>46164.13636363636</v>
      </c>
    </row>
    <row r="13" spans="1:22" s="25" customFormat="1" x14ac:dyDescent="0.15">
      <c r="A13" s="19" t="s">
        <v>55</v>
      </c>
      <c r="B13" s="19" t="s">
        <v>27</v>
      </c>
      <c r="C13" s="19" t="s">
        <v>49</v>
      </c>
      <c r="D13" s="19" t="s">
        <v>56</v>
      </c>
      <c r="E13" s="20" t="s">
        <v>57</v>
      </c>
      <c r="F13" s="20">
        <v>2025</v>
      </c>
      <c r="G13" s="20" t="s">
        <v>38</v>
      </c>
      <c r="H13" s="20" t="s">
        <v>58</v>
      </c>
      <c r="I13" s="20" t="s">
        <v>59</v>
      </c>
      <c r="J13" s="21"/>
      <c r="K13" s="21" t="s">
        <v>35</v>
      </c>
      <c r="L13" s="22">
        <v>180</v>
      </c>
      <c r="M13" s="22">
        <v>10000</v>
      </c>
      <c r="N13" s="23">
        <f>+'Captura check  list'!BO12</f>
        <v>181.28571428571428</v>
      </c>
      <c r="O13" s="22">
        <f>+'Captura check  list'!BQ12</f>
        <v>53460</v>
      </c>
      <c r="P13" s="22">
        <v>51006</v>
      </c>
      <c r="Q13" s="24">
        <v>46112</v>
      </c>
      <c r="R13" s="22">
        <f t="shared" si="0"/>
        <v>61006</v>
      </c>
      <c r="S13" s="24">
        <f t="shared" ca="1" si="4"/>
        <v>46178.624901497242</v>
      </c>
      <c r="T13" s="22">
        <f t="shared" si="1"/>
        <v>7546</v>
      </c>
      <c r="U13" s="24">
        <f t="shared" si="2"/>
        <v>46292</v>
      </c>
      <c r="V13" s="24">
        <f ca="1">IF(S13&gt;U13,U13,S13)</f>
        <v>46178.624901497242</v>
      </c>
    </row>
    <row r="14" spans="1:22" s="25" customFormat="1" x14ac:dyDescent="0.15">
      <c r="A14" s="19" t="s">
        <v>60</v>
      </c>
      <c r="B14" s="19" t="s">
        <v>27</v>
      </c>
      <c r="C14" s="19" t="s">
        <v>49</v>
      </c>
      <c r="D14" s="19" t="s">
        <v>50</v>
      </c>
      <c r="E14" s="20" t="s">
        <v>51</v>
      </c>
      <c r="F14" s="20">
        <v>2025</v>
      </c>
      <c r="G14" s="20" t="s">
        <v>38</v>
      </c>
      <c r="H14" s="20" t="s">
        <v>61</v>
      </c>
      <c r="I14" s="20" t="s">
        <v>62</v>
      </c>
      <c r="J14" s="21"/>
      <c r="K14" s="21" t="s">
        <v>35</v>
      </c>
      <c r="L14" s="22">
        <v>180</v>
      </c>
      <c r="M14" s="22">
        <v>10000</v>
      </c>
      <c r="N14" s="23">
        <f>+'Captura check  list'!BO13</f>
        <v>228.85714285714286</v>
      </c>
      <c r="O14" s="22">
        <f>+'Captura check  list'!BQ13</f>
        <v>22487</v>
      </c>
      <c r="P14" s="22">
        <v>19680</v>
      </c>
      <c r="Q14" s="24">
        <v>46094</v>
      </c>
      <c r="R14" s="22">
        <f t="shared" si="0"/>
        <v>29680</v>
      </c>
      <c r="S14" s="24">
        <f t="shared" ca="1" si="4"/>
        <v>46168.430087390763</v>
      </c>
      <c r="T14" s="22">
        <f t="shared" si="1"/>
        <v>7193</v>
      </c>
      <c r="U14" s="24">
        <f t="shared" si="2"/>
        <v>46274</v>
      </c>
      <c r="V14" s="24">
        <f t="shared" ca="1" si="3"/>
        <v>46168.430087390763</v>
      </c>
    </row>
    <row r="15" spans="1:22" s="25" customFormat="1" x14ac:dyDescent="0.15">
      <c r="A15" s="19" t="s">
        <v>63</v>
      </c>
      <c r="B15" s="19" t="s">
        <v>43</v>
      </c>
      <c r="C15" s="19" t="s">
        <v>28</v>
      </c>
      <c r="D15" s="19" t="s">
        <v>64</v>
      </c>
      <c r="E15" s="20" t="s">
        <v>65</v>
      </c>
      <c r="F15" s="20">
        <v>2021</v>
      </c>
      <c r="G15" s="20" t="s">
        <v>38</v>
      </c>
      <c r="H15" s="20" t="s">
        <v>66</v>
      </c>
      <c r="I15" s="20" t="s">
        <v>67</v>
      </c>
      <c r="J15" s="21"/>
      <c r="K15" s="21" t="s">
        <v>35</v>
      </c>
      <c r="L15" s="22">
        <v>180</v>
      </c>
      <c r="M15" s="22">
        <v>10000</v>
      </c>
      <c r="N15" s="23">
        <f>+'Captura check  list'!BO14</f>
        <v>56.428571428571431</v>
      </c>
      <c r="O15" s="22">
        <f>+'Captura check  list'!BQ14</f>
        <v>45921</v>
      </c>
      <c r="P15" s="22">
        <v>42400</v>
      </c>
      <c r="Q15" s="24">
        <v>45954</v>
      </c>
      <c r="R15" s="22">
        <f t="shared" si="0"/>
        <v>52400</v>
      </c>
      <c r="S15" s="24">
        <f t="shared" ca="1" si="4"/>
        <v>46251.817721518986</v>
      </c>
      <c r="T15" s="22">
        <f t="shared" si="1"/>
        <v>6479</v>
      </c>
      <c r="U15" s="24">
        <f t="shared" si="2"/>
        <v>46134</v>
      </c>
      <c r="V15" s="24">
        <f t="shared" ca="1" si="3"/>
        <v>46134</v>
      </c>
    </row>
    <row r="16" spans="1:22" s="25" customFormat="1" x14ac:dyDescent="0.15">
      <c r="A16" s="19" t="s">
        <v>68</v>
      </c>
      <c r="B16" s="19" t="s">
        <v>27</v>
      </c>
      <c r="C16" s="19" t="s">
        <v>28</v>
      </c>
      <c r="D16" s="19" t="s">
        <v>69</v>
      </c>
      <c r="E16" s="20" t="s">
        <v>30</v>
      </c>
      <c r="F16" s="20">
        <v>2022</v>
      </c>
      <c r="G16" s="20" t="s">
        <v>52</v>
      </c>
      <c r="H16" s="20" t="s">
        <v>70</v>
      </c>
      <c r="I16" s="20" t="s">
        <v>71</v>
      </c>
      <c r="J16" s="20"/>
      <c r="K16" s="21" t="s">
        <v>35</v>
      </c>
      <c r="L16" s="22">
        <v>90</v>
      </c>
      <c r="M16" s="22">
        <v>5000</v>
      </c>
      <c r="N16" s="23">
        <f>+'Captura check  list'!BO15</f>
        <v>144.85714285714286</v>
      </c>
      <c r="O16" s="22">
        <f>+'Captura check  list'!BQ15</f>
        <v>76146</v>
      </c>
      <c r="P16" s="22">
        <v>74677</v>
      </c>
      <c r="Q16" s="24">
        <v>46074</v>
      </c>
      <c r="R16" s="22">
        <f t="shared" si="0"/>
        <v>79677</v>
      </c>
      <c r="S16" s="24">
        <f t="shared" ca="1" si="4"/>
        <v>46161.375739644973</v>
      </c>
      <c r="T16" s="22">
        <f t="shared" si="1"/>
        <v>3531</v>
      </c>
      <c r="U16" s="24">
        <f t="shared" si="2"/>
        <v>46164</v>
      </c>
      <c r="V16" s="24">
        <f t="shared" ca="1" si="3"/>
        <v>46161.375739644973</v>
      </c>
    </row>
    <row r="17" spans="1:22" s="25" customFormat="1" x14ac:dyDescent="0.15">
      <c r="A17" s="19" t="s">
        <v>72</v>
      </c>
      <c r="B17" s="19" t="s">
        <v>27</v>
      </c>
      <c r="C17" s="19" t="s">
        <v>28</v>
      </c>
      <c r="D17" s="19" t="s">
        <v>73</v>
      </c>
      <c r="E17" s="20" t="s">
        <v>74</v>
      </c>
      <c r="F17" s="20">
        <v>2022</v>
      </c>
      <c r="G17" s="20" t="s">
        <v>52</v>
      </c>
      <c r="H17" s="20" t="s">
        <v>75</v>
      </c>
      <c r="I17" s="20" t="s">
        <v>76</v>
      </c>
      <c r="J17" s="21"/>
      <c r="K17" s="21" t="s">
        <v>35</v>
      </c>
      <c r="L17" s="22">
        <v>90</v>
      </c>
      <c r="M17" s="22">
        <v>5000</v>
      </c>
      <c r="N17" s="23">
        <f>+'Captura check  list'!BO16</f>
        <v>43.857142857142854</v>
      </c>
      <c r="O17" s="22">
        <f>+'Captura check  list'!BQ16</f>
        <v>55007</v>
      </c>
      <c r="P17" s="22">
        <v>52573</v>
      </c>
      <c r="Q17" s="24">
        <v>46035</v>
      </c>
      <c r="R17" s="22">
        <f t="shared" si="0"/>
        <v>57573</v>
      </c>
      <c r="S17" s="24">
        <f t="shared" ca="1" si="4"/>
        <v>46195.508143322477</v>
      </c>
      <c r="T17" s="22">
        <f t="shared" si="1"/>
        <v>2566</v>
      </c>
      <c r="U17" s="24">
        <f t="shared" si="2"/>
        <v>46125</v>
      </c>
      <c r="V17" s="24">
        <f t="shared" ca="1" si="3"/>
        <v>46125</v>
      </c>
    </row>
    <row r="18" spans="1:22" s="25" customFormat="1" x14ac:dyDescent="0.15">
      <c r="A18" s="26" t="s">
        <v>77</v>
      </c>
      <c r="B18" s="27" t="s">
        <v>27</v>
      </c>
      <c r="C18" s="19" t="s">
        <v>28</v>
      </c>
      <c r="D18" s="19" t="s">
        <v>78</v>
      </c>
      <c r="E18" s="20" t="s">
        <v>79</v>
      </c>
      <c r="F18" s="20">
        <v>2022</v>
      </c>
      <c r="G18" s="20" t="s">
        <v>52</v>
      </c>
      <c r="H18" s="20" t="s">
        <v>80</v>
      </c>
      <c r="I18" s="20" t="s">
        <v>81</v>
      </c>
      <c r="J18" s="21"/>
      <c r="K18" s="21" t="s">
        <v>35</v>
      </c>
      <c r="L18" s="22">
        <v>90</v>
      </c>
      <c r="M18" s="22">
        <v>5000</v>
      </c>
      <c r="N18" s="23">
        <f>+'Captura check  list'!BO17</f>
        <v>124.71428571428571</v>
      </c>
      <c r="O18" s="22">
        <f>+'Captura check  list'!BQ17</f>
        <v>130876</v>
      </c>
      <c r="P18" s="22">
        <v>127883</v>
      </c>
      <c r="Q18" s="24">
        <v>46092</v>
      </c>
      <c r="R18" s="22">
        <f t="shared" si="0"/>
        <v>132883</v>
      </c>
      <c r="S18" s="24">
        <f t="shared" ca="1" si="4"/>
        <v>46153.092783505155</v>
      </c>
      <c r="T18" s="22">
        <f t="shared" si="1"/>
        <v>2007</v>
      </c>
      <c r="U18" s="24">
        <f t="shared" si="2"/>
        <v>46182</v>
      </c>
      <c r="V18" s="24">
        <f t="shared" ca="1" si="3"/>
        <v>46153.092783505155</v>
      </c>
    </row>
    <row r="19" spans="1:22" s="25" customFormat="1" x14ac:dyDescent="0.15">
      <c r="A19" s="19" t="s">
        <v>82</v>
      </c>
      <c r="B19" s="19" t="s">
        <v>27</v>
      </c>
      <c r="C19" s="19" t="s">
        <v>28</v>
      </c>
      <c r="D19" s="19" t="s">
        <v>69</v>
      </c>
      <c r="E19" s="20" t="s">
        <v>30</v>
      </c>
      <c r="F19" s="20">
        <v>2023</v>
      </c>
      <c r="G19" s="20" t="s">
        <v>38</v>
      </c>
      <c r="H19" s="20" t="s">
        <v>83</v>
      </c>
      <c r="I19" s="20" t="s">
        <v>84</v>
      </c>
      <c r="J19" s="21"/>
      <c r="K19" s="21" t="s">
        <v>35</v>
      </c>
      <c r="L19" s="22">
        <v>180</v>
      </c>
      <c r="M19" s="22">
        <v>10000</v>
      </c>
      <c r="N19" s="23">
        <f>+'Captura check  list'!BO18</f>
        <v>210.28571428571428</v>
      </c>
      <c r="O19" s="22">
        <f>+'Captura check  list'!BQ18</f>
        <v>161077</v>
      </c>
      <c r="P19" s="22">
        <v>150000</v>
      </c>
      <c r="Q19" s="24">
        <v>46020</v>
      </c>
      <c r="R19" s="22">
        <f t="shared" si="0"/>
        <v>160000</v>
      </c>
      <c r="S19" s="24">
        <f t="shared" ca="1" si="4"/>
        <v>46131.878396739128</v>
      </c>
      <c r="T19" s="22">
        <f t="shared" si="1"/>
        <v>-1077</v>
      </c>
      <c r="U19" s="24">
        <f t="shared" si="2"/>
        <v>46200</v>
      </c>
      <c r="V19" s="24">
        <f t="shared" ca="1" si="3"/>
        <v>46131.878396739128</v>
      </c>
    </row>
    <row r="20" spans="1:22" s="25" customFormat="1" x14ac:dyDescent="0.15">
      <c r="A20" s="19" t="s">
        <v>85</v>
      </c>
      <c r="B20" s="19" t="s">
        <v>43</v>
      </c>
      <c r="C20" s="19" t="s">
        <v>28</v>
      </c>
      <c r="D20" s="19" t="s">
        <v>86</v>
      </c>
      <c r="E20" s="20" t="s">
        <v>45</v>
      </c>
      <c r="F20" s="20">
        <v>2024</v>
      </c>
      <c r="G20" s="20" t="s">
        <v>38</v>
      </c>
      <c r="H20" s="20" t="s">
        <v>87</v>
      </c>
      <c r="I20" s="20" t="s">
        <v>88</v>
      </c>
      <c r="J20" s="21"/>
      <c r="K20" s="21" t="s">
        <v>35</v>
      </c>
      <c r="L20" s="22">
        <v>180</v>
      </c>
      <c r="M20" s="22">
        <v>10000</v>
      </c>
      <c r="N20" s="23">
        <f>+'Captura check  list'!BO19</f>
        <v>216</v>
      </c>
      <c r="O20" s="22">
        <f>+'Captura check  list'!BQ19</f>
        <v>106610</v>
      </c>
      <c r="P20" s="22">
        <v>96515</v>
      </c>
      <c r="Q20" s="24">
        <v>46035</v>
      </c>
      <c r="R20" s="22">
        <f t="shared" si="0"/>
        <v>106515</v>
      </c>
      <c r="S20" s="24">
        <f t="shared" ca="1" si="4"/>
        <v>46136.560185185182</v>
      </c>
      <c r="T20" s="22">
        <f t="shared" si="1"/>
        <v>-95</v>
      </c>
      <c r="U20" s="24">
        <f t="shared" si="2"/>
        <v>46215</v>
      </c>
      <c r="V20" s="24">
        <f t="shared" ca="1" si="3"/>
        <v>46136.560185185182</v>
      </c>
    </row>
    <row r="21" spans="1:22" s="25" customFormat="1" x14ac:dyDescent="0.15">
      <c r="A21" s="19" t="s">
        <v>89</v>
      </c>
      <c r="B21" s="19" t="s">
        <v>27</v>
      </c>
      <c r="C21" s="19" t="s">
        <v>49</v>
      </c>
      <c r="D21" s="19" t="s">
        <v>90</v>
      </c>
      <c r="E21" s="20" t="s">
        <v>51</v>
      </c>
      <c r="F21" s="20">
        <v>2024</v>
      </c>
      <c r="G21" s="20" t="s">
        <v>52</v>
      </c>
      <c r="H21" s="20" t="s">
        <v>91</v>
      </c>
      <c r="I21" s="20" t="s">
        <v>92</v>
      </c>
      <c r="J21" s="20"/>
      <c r="K21" s="21" t="s">
        <v>35</v>
      </c>
      <c r="L21" s="22">
        <v>90</v>
      </c>
      <c r="M21" s="22">
        <v>5000</v>
      </c>
      <c r="N21" s="23">
        <f>+'Captura check  list'!BO20</f>
        <v>118.85714285714286</v>
      </c>
      <c r="O21" s="22">
        <f>+'Captura check  list'!BQ20</f>
        <v>51812</v>
      </c>
      <c r="P21" s="22">
        <v>49627</v>
      </c>
      <c r="Q21" s="24">
        <v>46108</v>
      </c>
      <c r="R21" s="22">
        <f t="shared" si="0"/>
        <v>54627</v>
      </c>
      <c r="S21" s="24">
        <f t="shared" ca="1" si="4"/>
        <v>46160.683894230766</v>
      </c>
      <c r="T21" s="22">
        <f t="shared" si="1"/>
        <v>2815</v>
      </c>
      <c r="U21" s="24">
        <f t="shared" si="2"/>
        <v>46198</v>
      </c>
      <c r="V21" s="24">
        <f t="shared" ca="1" si="3"/>
        <v>46160.683894230766</v>
      </c>
    </row>
    <row r="22" spans="1:22" s="25" customFormat="1" x14ac:dyDescent="0.15">
      <c r="A22" s="19" t="s">
        <v>93</v>
      </c>
      <c r="B22" s="19" t="s">
        <v>43</v>
      </c>
      <c r="C22" s="19" t="s">
        <v>49</v>
      </c>
      <c r="D22" s="19" t="s">
        <v>64</v>
      </c>
      <c r="E22" s="20" t="s">
        <v>65</v>
      </c>
      <c r="F22" s="20">
        <v>2022</v>
      </c>
      <c r="G22" s="20" t="s">
        <v>38</v>
      </c>
      <c r="H22" s="20" t="s">
        <v>94</v>
      </c>
      <c r="I22" s="20" t="s">
        <v>95</v>
      </c>
      <c r="J22" s="21"/>
      <c r="K22" s="21" t="s">
        <v>35</v>
      </c>
      <c r="L22" s="22">
        <v>180</v>
      </c>
      <c r="M22" s="22">
        <v>10000</v>
      </c>
      <c r="N22" s="23">
        <f>+'Captura check  list'!BO21</f>
        <v>178.57142857142858</v>
      </c>
      <c r="O22" s="22">
        <f>+'Captura check  list'!BQ21</f>
        <v>98391</v>
      </c>
      <c r="P22" s="22">
        <v>96540</v>
      </c>
      <c r="Q22" s="24">
        <v>45953</v>
      </c>
      <c r="R22" s="22">
        <f t="shared" si="0"/>
        <v>106540</v>
      </c>
      <c r="S22" s="24">
        <f t="shared" ca="1" si="4"/>
        <v>46182.634400000003</v>
      </c>
      <c r="T22" s="22">
        <f t="shared" si="1"/>
        <v>8149</v>
      </c>
      <c r="U22" s="24">
        <f t="shared" si="2"/>
        <v>46133</v>
      </c>
      <c r="V22" s="24">
        <f t="shared" ca="1" si="3"/>
        <v>46133</v>
      </c>
    </row>
    <row r="23" spans="1:22" s="25" customFormat="1" x14ac:dyDescent="0.15">
      <c r="A23" s="19" t="s">
        <v>96</v>
      </c>
      <c r="B23" s="19" t="s">
        <v>27</v>
      </c>
      <c r="C23" s="19" t="s">
        <v>49</v>
      </c>
      <c r="D23" s="19" t="s">
        <v>56</v>
      </c>
      <c r="E23" s="20" t="s">
        <v>57</v>
      </c>
      <c r="F23" s="20">
        <v>2018</v>
      </c>
      <c r="G23" s="20" t="s">
        <v>52</v>
      </c>
      <c r="H23" s="20" t="s">
        <v>97</v>
      </c>
      <c r="I23" s="20" t="s">
        <v>98</v>
      </c>
      <c r="J23" s="21"/>
      <c r="K23" s="21" t="s">
        <v>35</v>
      </c>
      <c r="L23" s="22">
        <v>90</v>
      </c>
      <c r="M23" s="22">
        <v>5000</v>
      </c>
      <c r="N23" s="23">
        <f>+'Captura check  list'!BO22</f>
        <v>74.714285714285708</v>
      </c>
      <c r="O23" s="22">
        <f>+'Captura check  list'!BQ22</f>
        <v>137874</v>
      </c>
      <c r="P23" s="22">
        <v>137423</v>
      </c>
      <c r="Q23" s="24">
        <v>46107</v>
      </c>
      <c r="R23" s="22">
        <f t="shared" si="0"/>
        <v>142423</v>
      </c>
      <c r="S23" s="24">
        <f t="shared" ca="1" si="4"/>
        <v>46197.885277246656</v>
      </c>
      <c r="T23" s="22">
        <f t="shared" si="1"/>
        <v>4549</v>
      </c>
      <c r="U23" s="24">
        <f t="shared" si="2"/>
        <v>46197</v>
      </c>
      <c r="V23" s="24">
        <f t="shared" ca="1" si="3"/>
        <v>46197</v>
      </c>
    </row>
    <row r="24" spans="1:22" s="25" customFormat="1" x14ac:dyDescent="0.15">
      <c r="A24" s="19" t="s">
        <v>99</v>
      </c>
      <c r="B24" s="19" t="s">
        <v>27</v>
      </c>
      <c r="C24" s="19" t="s">
        <v>49</v>
      </c>
      <c r="D24" s="19" t="s">
        <v>100</v>
      </c>
      <c r="E24" s="20" t="s">
        <v>79</v>
      </c>
      <c r="F24" s="20">
        <v>2023</v>
      </c>
      <c r="G24" s="20" t="s">
        <v>52</v>
      </c>
      <c r="H24" s="20" t="s">
        <v>101</v>
      </c>
      <c r="I24" s="20" t="s">
        <v>102</v>
      </c>
      <c r="J24" s="21"/>
      <c r="K24" s="21" t="s">
        <v>35</v>
      </c>
      <c r="L24" s="22">
        <v>180</v>
      </c>
      <c r="M24" s="22">
        <v>10000</v>
      </c>
      <c r="N24" s="23">
        <f>+'Captura check  list'!BO23</f>
        <v>155.85714285714286</v>
      </c>
      <c r="O24" s="22">
        <f>+'Captura check  list'!BQ23</f>
        <v>107467</v>
      </c>
      <c r="P24" s="22">
        <v>100834</v>
      </c>
      <c r="Q24" s="24">
        <v>46080</v>
      </c>
      <c r="R24" s="22">
        <f t="shared" si="0"/>
        <v>110834</v>
      </c>
      <c r="S24" s="24">
        <f t="shared" ca="1" si="4"/>
        <v>46158.603116406965</v>
      </c>
      <c r="T24" s="22">
        <f t="shared" si="1"/>
        <v>3367</v>
      </c>
      <c r="U24" s="24">
        <f t="shared" si="2"/>
        <v>46260</v>
      </c>
      <c r="V24" s="24">
        <f t="shared" ca="1" si="3"/>
        <v>46158.603116406965</v>
      </c>
    </row>
    <row r="25" spans="1:22" s="25" customFormat="1" x14ac:dyDescent="0.15">
      <c r="A25" s="19" t="s">
        <v>103</v>
      </c>
      <c r="B25" s="19" t="s">
        <v>27</v>
      </c>
      <c r="C25" s="19" t="s">
        <v>49</v>
      </c>
      <c r="D25" s="19" t="s">
        <v>56</v>
      </c>
      <c r="E25" s="20" t="s">
        <v>57</v>
      </c>
      <c r="F25" s="20">
        <v>2023</v>
      </c>
      <c r="G25" s="20" t="s">
        <v>52</v>
      </c>
      <c r="H25" s="20" t="s">
        <v>104</v>
      </c>
      <c r="I25" s="20" t="s">
        <v>105</v>
      </c>
      <c r="J25" s="21"/>
      <c r="K25" s="21" t="s">
        <v>35</v>
      </c>
      <c r="L25" s="22">
        <v>90</v>
      </c>
      <c r="M25" s="22">
        <v>5000</v>
      </c>
      <c r="N25" s="23">
        <f>+'Captura check  list'!BO24</f>
        <v>118.42857142857143</v>
      </c>
      <c r="O25" s="22">
        <f>+'Captura check  list'!BQ24</f>
        <v>58774</v>
      </c>
      <c r="P25" s="22">
        <v>56874</v>
      </c>
      <c r="Q25" s="24">
        <v>46080</v>
      </c>
      <c r="R25" s="22">
        <f t="shared" si="0"/>
        <v>61874</v>
      </c>
      <c r="S25" s="24">
        <f t="shared" ca="1" si="4"/>
        <v>46163.176115802169</v>
      </c>
      <c r="T25" s="22">
        <f t="shared" si="1"/>
        <v>3100</v>
      </c>
      <c r="U25" s="24">
        <f t="shared" si="2"/>
        <v>46170</v>
      </c>
      <c r="V25" s="24">
        <f t="shared" ca="1" si="3"/>
        <v>46163.176115802169</v>
      </c>
    </row>
    <row r="26" spans="1:22" s="25" customFormat="1" x14ac:dyDescent="0.15">
      <c r="A26" s="19" t="s">
        <v>106</v>
      </c>
      <c r="B26" s="19" t="s">
        <v>27</v>
      </c>
      <c r="C26" s="19" t="s">
        <v>49</v>
      </c>
      <c r="D26" s="19" t="s">
        <v>107</v>
      </c>
      <c r="E26" s="20" t="s">
        <v>30</v>
      </c>
      <c r="F26" s="20">
        <v>2023</v>
      </c>
      <c r="G26" s="20" t="s">
        <v>52</v>
      </c>
      <c r="H26" s="20" t="s">
        <v>108</v>
      </c>
      <c r="I26" s="20" t="s">
        <v>109</v>
      </c>
      <c r="J26" s="21"/>
      <c r="K26" s="21" t="s">
        <v>35</v>
      </c>
      <c r="L26" s="22">
        <v>180</v>
      </c>
      <c r="M26" s="22">
        <v>10000</v>
      </c>
      <c r="N26" s="23">
        <f>+'Captura check  list'!BO25</f>
        <v>131.28571428571428</v>
      </c>
      <c r="O26" s="22">
        <f>+'Captura check  list'!BQ25</f>
        <v>104782</v>
      </c>
      <c r="P26" s="22">
        <v>100000</v>
      </c>
      <c r="Q26" s="24">
        <v>46080</v>
      </c>
      <c r="R26" s="22">
        <f t="shared" si="0"/>
        <v>110000</v>
      </c>
      <c r="S26" s="24">
        <f t="shared" ca="1" si="4"/>
        <v>46176.745375408049</v>
      </c>
      <c r="T26" s="22">
        <f t="shared" si="1"/>
        <v>5218</v>
      </c>
      <c r="U26" s="24">
        <f t="shared" si="2"/>
        <v>46260</v>
      </c>
      <c r="V26" s="24">
        <f t="shared" ca="1" si="3"/>
        <v>46176.745375408049</v>
      </c>
    </row>
    <row r="27" spans="1:22" s="25" customFormat="1" x14ac:dyDescent="0.15">
      <c r="A27" s="19" t="s">
        <v>137</v>
      </c>
      <c r="B27" s="19" t="s">
        <v>27</v>
      </c>
      <c r="C27" s="19" t="s">
        <v>49</v>
      </c>
      <c r="D27" s="19" t="s">
        <v>69</v>
      </c>
      <c r="E27" s="20" t="s">
        <v>30</v>
      </c>
      <c r="F27" s="20">
        <v>2017</v>
      </c>
      <c r="G27" s="20" t="s">
        <v>38</v>
      </c>
      <c r="H27" s="20" t="s">
        <v>110</v>
      </c>
      <c r="I27" s="20" t="s">
        <v>111</v>
      </c>
      <c r="J27" s="21"/>
      <c r="K27" s="21" t="s">
        <v>35</v>
      </c>
      <c r="L27" s="22">
        <v>180</v>
      </c>
      <c r="M27" s="22">
        <v>10000</v>
      </c>
      <c r="N27" s="23">
        <f>+'Captura check  list'!BO26</f>
        <v>99.714285714285708</v>
      </c>
      <c r="O27" s="22">
        <f>+'Captura check  list'!BQ26</f>
        <v>30114</v>
      </c>
      <c r="P27" s="22">
        <v>25496</v>
      </c>
      <c r="Q27" s="24">
        <v>46079</v>
      </c>
      <c r="R27" s="22">
        <f t="shared" si="0"/>
        <v>35496</v>
      </c>
      <c r="S27" s="24">
        <f t="shared" ca="1" si="4"/>
        <v>46190.974212034387</v>
      </c>
      <c r="T27" s="22">
        <f t="shared" si="1"/>
        <v>5382</v>
      </c>
      <c r="U27" s="24">
        <f t="shared" si="2"/>
        <v>46259</v>
      </c>
      <c r="V27" s="24">
        <f t="shared" ca="1" si="3"/>
        <v>46190.974212034387</v>
      </c>
    </row>
    <row r="28" spans="1:22" s="25" customFormat="1" x14ac:dyDescent="0.15">
      <c r="A28" s="19" t="s">
        <v>112</v>
      </c>
      <c r="B28" s="19" t="s">
        <v>27</v>
      </c>
      <c r="C28" s="19" t="s">
        <v>28</v>
      </c>
      <c r="D28" s="19" t="s">
        <v>113</v>
      </c>
      <c r="E28" s="20" t="s">
        <v>114</v>
      </c>
      <c r="F28" s="20">
        <v>2023</v>
      </c>
      <c r="G28" s="20" t="s">
        <v>52</v>
      </c>
      <c r="H28" s="20" t="s">
        <v>115</v>
      </c>
      <c r="I28" s="20" t="s">
        <v>116</v>
      </c>
      <c r="J28" s="20"/>
      <c r="K28" s="21" t="s">
        <v>35</v>
      </c>
      <c r="L28" s="22">
        <v>180</v>
      </c>
      <c r="M28" s="22">
        <v>5000</v>
      </c>
      <c r="N28" s="23">
        <f>+'Captura check  list'!BO27</f>
        <v>244.71428571428572</v>
      </c>
      <c r="O28" s="22">
        <f>+'Captura check  list'!BQ27</f>
        <v>193129</v>
      </c>
      <c r="P28" s="22">
        <v>186819</v>
      </c>
      <c r="Q28" s="24">
        <v>46092</v>
      </c>
      <c r="R28" s="22">
        <f t="shared" si="0"/>
        <v>191819</v>
      </c>
      <c r="S28" s="24">
        <f t="shared" ca="1" si="4"/>
        <v>46131.646818447167</v>
      </c>
      <c r="T28" s="22">
        <f t="shared" si="1"/>
        <v>-1310</v>
      </c>
      <c r="U28" s="24">
        <f t="shared" si="2"/>
        <v>46272</v>
      </c>
      <c r="V28" s="24">
        <f t="shared" ca="1" si="3"/>
        <v>46131.646818447167</v>
      </c>
    </row>
    <row r="29" spans="1:22" s="25" customFormat="1" x14ac:dyDescent="0.15">
      <c r="A29" s="19" t="s">
        <v>117</v>
      </c>
      <c r="B29" s="19" t="s">
        <v>27</v>
      </c>
      <c r="C29" s="19" t="s">
        <v>28</v>
      </c>
      <c r="D29" s="19" t="s">
        <v>69</v>
      </c>
      <c r="E29" s="20" t="s">
        <v>30</v>
      </c>
      <c r="F29" s="20">
        <v>2024</v>
      </c>
      <c r="G29" s="20" t="s">
        <v>38</v>
      </c>
      <c r="H29" s="20" t="s">
        <v>118</v>
      </c>
      <c r="I29" s="20" t="s">
        <v>119</v>
      </c>
      <c r="J29" s="21"/>
      <c r="K29" s="21" t="s">
        <v>35</v>
      </c>
      <c r="L29" s="22">
        <v>180</v>
      </c>
      <c r="M29" s="22">
        <v>10000</v>
      </c>
      <c r="N29" s="23">
        <f>+'Captura check  list'!BO28</f>
        <v>145.57142857142858</v>
      </c>
      <c r="O29" s="22">
        <f>+'Captura check  list'!BQ28</f>
        <v>59994</v>
      </c>
      <c r="P29" s="22">
        <v>58209</v>
      </c>
      <c r="Q29" s="24">
        <v>46100</v>
      </c>
      <c r="R29" s="22">
        <f t="shared" si="0"/>
        <v>68209</v>
      </c>
      <c r="S29" s="24">
        <f t="shared" ca="1" si="4"/>
        <v>46193.432777232578</v>
      </c>
      <c r="T29" s="22">
        <f t="shared" si="1"/>
        <v>8215</v>
      </c>
      <c r="U29" s="24">
        <f t="shared" si="2"/>
        <v>46280</v>
      </c>
      <c r="V29" s="24">
        <f t="shared" ca="1" si="3"/>
        <v>46193.432777232578</v>
      </c>
    </row>
    <row r="30" spans="1:22" s="25" customFormat="1" x14ac:dyDescent="0.15">
      <c r="A30" s="19" t="s">
        <v>120</v>
      </c>
      <c r="B30" s="19" t="s">
        <v>27</v>
      </c>
      <c r="C30" s="19" t="s">
        <v>49</v>
      </c>
      <c r="D30" s="19" t="s">
        <v>78</v>
      </c>
      <c r="E30" s="20" t="s">
        <v>79</v>
      </c>
      <c r="F30" s="20">
        <v>2024</v>
      </c>
      <c r="G30" s="20" t="s">
        <v>52</v>
      </c>
      <c r="H30" s="20" t="s">
        <v>121</v>
      </c>
      <c r="I30" s="20" t="s">
        <v>122</v>
      </c>
      <c r="J30" s="20"/>
      <c r="K30" s="21" t="s">
        <v>35</v>
      </c>
      <c r="L30" s="22">
        <v>90</v>
      </c>
      <c r="M30" s="22">
        <v>5000</v>
      </c>
      <c r="N30" s="23">
        <f>+'Captura check  list'!BO29</f>
        <v>212.14285714285714</v>
      </c>
      <c r="O30" s="22">
        <f>+'Captura check  list'!BQ29</f>
        <v>68103</v>
      </c>
      <c r="P30" s="22">
        <v>61237.5</v>
      </c>
      <c r="Q30" s="24">
        <v>46080</v>
      </c>
      <c r="R30" s="22">
        <f t="shared" si="0"/>
        <v>66237.5</v>
      </c>
      <c r="S30" s="24">
        <f t="shared" ca="1" si="4"/>
        <v>46128.2063973064</v>
      </c>
      <c r="T30" s="22">
        <f t="shared" si="1"/>
        <v>-1865.5</v>
      </c>
      <c r="U30" s="24">
        <f t="shared" si="2"/>
        <v>46170</v>
      </c>
      <c r="V30" s="24">
        <f t="shared" ca="1" si="3"/>
        <v>46128.2063973064</v>
      </c>
    </row>
    <row r="31" spans="1:22" s="25" customFormat="1" x14ac:dyDescent="0.15">
      <c r="A31" s="19" t="s">
        <v>123</v>
      </c>
      <c r="B31" s="19" t="s">
        <v>27</v>
      </c>
      <c r="C31" s="19" t="s">
        <v>49</v>
      </c>
      <c r="D31" s="19" t="s">
        <v>50</v>
      </c>
      <c r="E31" s="20" t="s">
        <v>51</v>
      </c>
      <c r="F31" s="20">
        <v>2025</v>
      </c>
      <c r="G31" s="20" t="s">
        <v>52</v>
      </c>
      <c r="H31" s="20" t="s">
        <v>124</v>
      </c>
      <c r="I31" s="20" t="s">
        <v>125</v>
      </c>
      <c r="J31" s="21"/>
      <c r="K31" s="21" t="s">
        <v>35</v>
      </c>
      <c r="L31" s="22">
        <v>90</v>
      </c>
      <c r="M31" s="22">
        <v>5000</v>
      </c>
      <c r="N31" s="23">
        <f>+'Captura check  list'!BO30</f>
        <v>160.71428571428572</v>
      </c>
      <c r="O31" s="22">
        <f>+'Captura check  list'!BQ30</f>
        <v>16332</v>
      </c>
      <c r="P31" s="22">
        <v>11627</v>
      </c>
      <c r="Q31" s="24">
        <v>46080</v>
      </c>
      <c r="R31" s="22">
        <f t="shared" si="0"/>
        <v>16627</v>
      </c>
      <c r="S31" s="24">
        <f t="shared" ca="1" si="4"/>
        <v>46138.835555555554</v>
      </c>
      <c r="T31" s="22">
        <f t="shared" si="1"/>
        <v>295</v>
      </c>
      <c r="U31" s="24">
        <f>+Q31+L31</f>
        <v>46170</v>
      </c>
      <c r="V31" s="24">
        <f ca="1">IF(S31&gt;U31,U31,S31)</f>
        <v>46138.835555555554</v>
      </c>
    </row>
    <row r="33" spans="1:14" ht="16" x14ac:dyDescent="0.2">
      <c r="A33" s="28"/>
      <c r="B33" s="28"/>
      <c r="N33" s="29"/>
    </row>
  </sheetData>
  <autoFilter ref="A8:V31" xr:uid="{91641222-55CA-9F42-9ED0-DFF1D5EF0ED6}"/>
  <mergeCells count="4">
    <mergeCell ref="A2:I5"/>
    <mergeCell ref="A7:I7"/>
    <mergeCell ref="L7:O7"/>
    <mergeCell ref="P7:V7"/>
  </mergeCells>
  <conditionalFormatting sqref="T9:T31">
    <cfRule type="cellIs" dxfId="2" priority="2" operator="lessThan">
      <formula>1500</formula>
    </cfRule>
  </conditionalFormatting>
  <conditionalFormatting sqref="V9:V31">
    <cfRule type="cellIs" dxfId="1" priority="1" operator="lessThan">
      <formula>TODAY()+15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9B46-AA00-9541-B84A-1F4DE5E61FC1}">
  <sheetPr>
    <tabColor theme="5"/>
  </sheetPr>
  <dimension ref="A1:BY85"/>
  <sheetViews>
    <sheetView showGridLines="0" topLeftCell="A2" zoomScale="131" zoomScaleNormal="131" workbookViewId="0">
      <pane xSplit="1" topLeftCell="O1" activePane="topRight" state="frozen"/>
      <selection activeCell="Q27" sqref="Q27"/>
      <selection pane="topRight" activeCell="R103" sqref="R103"/>
    </sheetView>
  </sheetViews>
  <sheetFormatPr baseColWidth="10" defaultColWidth="17.83203125" defaultRowHeight="13" outlineLevelCol="1" x14ac:dyDescent="0.15"/>
  <cols>
    <col min="1" max="1" width="54.6640625" style="30" customWidth="1"/>
    <col min="2" max="2" width="5.1640625" style="30" customWidth="1"/>
    <col min="3" max="3" width="7.83203125" style="30" hidden="1" customWidth="1" outlineLevel="1"/>
    <col min="4" max="4" width="8" style="30" hidden="1" customWidth="1" outlineLevel="1"/>
    <col min="5" max="10" width="7.83203125" style="30" hidden="1" customWidth="1" outlineLevel="1"/>
    <col min="11" max="13" width="8.33203125" style="30" hidden="1" customWidth="1" outlineLevel="1"/>
    <col min="14" max="14" width="8.5" style="30" bestFit="1" customWidth="1" collapsed="1"/>
    <col min="15" max="21" width="8.5" style="30" bestFit="1" customWidth="1"/>
    <col min="22" max="23" width="8.33203125" style="30" bestFit="1" customWidth="1"/>
    <col min="24" max="29" width="8.1640625" style="30" bestFit="1" customWidth="1"/>
    <col min="30" max="56" width="7.5" style="30" bestFit="1" customWidth="1"/>
    <col min="57" max="65" width="7.5" style="31" bestFit="1" customWidth="1"/>
    <col min="66" max="66" width="17.83203125" style="31"/>
    <col min="67" max="69" width="18.1640625" style="30" bestFit="1" customWidth="1"/>
    <col min="70" max="70" width="17.83203125" style="30"/>
    <col min="71" max="71" width="18.1640625" style="30" bestFit="1" customWidth="1"/>
    <col min="72" max="72" width="17.83203125" style="30"/>
    <col min="73" max="73" width="18.1640625" style="30" bestFit="1" customWidth="1"/>
    <col min="74" max="16384" width="17.83203125" style="30"/>
  </cols>
  <sheetData>
    <row r="1" spans="1:75" ht="9" customHeight="1" x14ac:dyDescent="0.15"/>
    <row r="2" spans="1:75" ht="43.25" customHeight="1" x14ac:dyDescent="0.15">
      <c r="A2" s="32" t="e" vm="1">
        <v>#VALUE!</v>
      </c>
    </row>
    <row r="3" spans="1:75" s="31" customFormat="1" ht="5" customHeight="1" x14ac:dyDescent="0.15"/>
    <row r="4" spans="1:75" s="31" customFormat="1" ht="5" customHeight="1" x14ac:dyDescent="0.15"/>
    <row r="5" spans="1:75" s="31" customFormat="1" ht="14" thickBot="1" x14ac:dyDescent="0.2">
      <c r="A5" s="33"/>
      <c r="B5" s="33"/>
      <c r="C5" s="34">
        <v>2025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5">
        <v>2026</v>
      </c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</row>
    <row r="6" spans="1:75" ht="14" customHeight="1" x14ac:dyDescent="0.15">
      <c r="A6" s="36" t="s">
        <v>126</v>
      </c>
      <c r="B6" s="37"/>
      <c r="C6" s="38">
        <v>45950</v>
      </c>
      <c r="D6" s="38">
        <v>45957</v>
      </c>
      <c r="E6" s="38">
        <v>45964</v>
      </c>
      <c r="F6" s="38">
        <v>45971</v>
      </c>
      <c r="G6" s="38">
        <v>45978</v>
      </c>
      <c r="H6" s="38">
        <v>45985</v>
      </c>
      <c r="I6" s="38">
        <v>45992</v>
      </c>
      <c r="J6" s="38">
        <v>45999</v>
      </c>
      <c r="K6" s="38">
        <v>46006</v>
      </c>
      <c r="L6" s="38">
        <v>46013</v>
      </c>
      <c r="M6" s="38">
        <v>46020</v>
      </c>
      <c r="N6" s="38">
        <v>46027</v>
      </c>
      <c r="O6" s="38">
        <v>46034</v>
      </c>
      <c r="P6" s="38">
        <v>46041</v>
      </c>
      <c r="Q6" s="38">
        <v>46048</v>
      </c>
      <c r="R6" s="38">
        <v>46055</v>
      </c>
      <c r="S6" s="38">
        <v>46062</v>
      </c>
      <c r="T6" s="38">
        <v>46069</v>
      </c>
      <c r="U6" s="38">
        <v>46076</v>
      </c>
      <c r="V6" s="38">
        <v>46083</v>
      </c>
      <c r="W6" s="38">
        <v>46090</v>
      </c>
      <c r="X6" s="38">
        <v>46097</v>
      </c>
      <c r="Y6" s="38">
        <v>46104</v>
      </c>
      <c r="Z6" s="38">
        <v>46111</v>
      </c>
      <c r="AA6" s="38">
        <v>46118</v>
      </c>
      <c r="AB6" s="38">
        <v>46125</v>
      </c>
      <c r="AC6" s="38">
        <v>46132</v>
      </c>
      <c r="AD6" s="38">
        <v>46139</v>
      </c>
      <c r="AE6" s="38">
        <v>46146</v>
      </c>
      <c r="AF6" s="38">
        <v>46153</v>
      </c>
      <c r="AG6" s="38">
        <v>46160</v>
      </c>
      <c r="AH6" s="38">
        <v>46167</v>
      </c>
      <c r="AI6" s="38">
        <v>46174</v>
      </c>
      <c r="AJ6" s="38">
        <v>46181</v>
      </c>
      <c r="AK6" s="38">
        <v>46188</v>
      </c>
      <c r="AL6" s="38">
        <v>46195</v>
      </c>
      <c r="AM6" s="38">
        <v>46202</v>
      </c>
      <c r="AN6" s="38">
        <v>46209</v>
      </c>
      <c r="AO6" s="38">
        <v>46216</v>
      </c>
      <c r="AP6" s="38">
        <v>46223</v>
      </c>
      <c r="AQ6" s="38">
        <v>46230</v>
      </c>
      <c r="AR6" s="38">
        <v>46237</v>
      </c>
      <c r="AS6" s="38">
        <v>46244</v>
      </c>
      <c r="AT6" s="38">
        <v>46251</v>
      </c>
      <c r="AU6" s="38">
        <v>46258</v>
      </c>
      <c r="AV6" s="38">
        <v>46265</v>
      </c>
      <c r="AW6" s="38">
        <v>46272</v>
      </c>
      <c r="AX6" s="38">
        <v>46279</v>
      </c>
      <c r="AY6" s="38">
        <v>46286</v>
      </c>
      <c r="AZ6" s="38">
        <v>46293</v>
      </c>
      <c r="BA6" s="38">
        <v>46300</v>
      </c>
      <c r="BB6" s="38">
        <v>46307</v>
      </c>
      <c r="BC6" s="38">
        <v>46314</v>
      </c>
      <c r="BD6" s="38">
        <v>46321</v>
      </c>
      <c r="BE6" s="38">
        <v>46328</v>
      </c>
      <c r="BF6" s="38">
        <v>46335</v>
      </c>
      <c r="BG6" s="38">
        <v>46342</v>
      </c>
      <c r="BH6" s="38">
        <v>46349</v>
      </c>
      <c r="BI6" s="38">
        <v>46356</v>
      </c>
      <c r="BJ6" s="38">
        <v>46363</v>
      </c>
      <c r="BK6" s="38">
        <v>46370</v>
      </c>
      <c r="BL6" s="38">
        <v>46377</v>
      </c>
      <c r="BM6" s="38">
        <v>46384</v>
      </c>
      <c r="BO6" s="39" t="s">
        <v>127</v>
      </c>
      <c r="BP6" s="40"/>
      <c r="BQ6" s="41"/>
    </row>
    <row r="7" spans="1:75" ht="17" customHeight="1" x14ac:dyDescent="0.15">
      <c r="A7" s="36"/>
      <c r="B7" s="37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O7" s="43" t="s">
        <v>128</v>
      </c>
      <c r="BP7" s="44" t="s">
        <v>129</v>
      </c>
      <c r="BQ7" s="45" t="s">
        <v>130</v>
      </c>
    </row>
    <row r="8" spans="1:75" x14ac:dyDescent="0.15">
      <c r="A8" s="18" t="s">
        <v>26</v>
      </c>
      <c r="B8" s="46"/>
      <c r="C8" s="47">
        <v>330862</v>
      </c>
      <c r="D8" s="47">
        <v>331050</v>
      </c>
      <c r="E8" s="48">
        <v>331163</v>
      </c>
      <c r="F8" s="48">
        <v>331303</v>
      </c>
      <c r="G8" s="48">
        <v>331457</v>
      </c>
      <c r="H8" s="48">
        <v>331520</v>
      </c>
      <c r="I8" s="48">
        <v>331657</v>
      </c>
      <c r="J8" s="48">
        <v>331754</v>
      </c>
      <c r="K8" s="48">
        <v>331943</v>
      </c>
      <c r="L8" s="48">
        <v>331987</v>
      </c>
      <c r="M8" s="48">
        <v>332031</v>
      </c>
      <c r="N8" s="18">
        <v>332031</v>
      </c>
      <c r="O8" s="18">
        <v>332032</v>
      </c>
      <c r="P8" s="18">
        <v>332038</v>
      </c>
      <c r="Q8" s="18">
        <v>332038</v>
      </c>
      <c r="R8" s="18">
        <v>118955</v>
      </c>
      <c r="S8" s="18">
        <f>+AVERAGE(T8,R8)</f>
        <v>119045.5</v>
      </c>
      <c r="T8" s="18">
        <v>119136</v>
      </c>
      <c r="U8" s="18">
        <v>119387</v>
      </c>
      <c r="V8" s="18">
        <v>119547</v>
      </c>
      <c r="W8" s="18">
        <v>119728</v>
      </c>
      <c r="X8" s="18">
        <f>+W8+181</f>
        <v>119909</v>
      </c>
      <c r="Y8" s="18">
        <v>120050</v>
      </c>
      <c r="Z8" s="18">
        <v>120209</v>
      </c>
      <c r="AA8" s="18">
        <v>120352</v>
      </c>
      <c r="AB8" s="18">
        <v>120568</v>
      </c>
      <c r="AC8" s="18">
        <v>120763</v>
      </c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49"/>
      <c r="BO8" s="50">
        <f>+BP8/7</f>
        <v>35.857142857142854</v>
      </c>
      <c r="BP8" s="50">
        <f>BO35</f>
        <v>251</v>
      </c>
      <c r="BQ8" s="51">
        <f>MAX(R8:BM8)</f>
        <v>120763</v>
      </c>
      <c r="BT8" s="46"/>
      <c r="BU8" s="46"/>
    </row>
    <row r="9" spans="1:75" x14ac:dyDescent="0.15">
      <c r="A9" s="19" t="s">
        <v>36</v>
      </c>
      <c r="B9" s="46"/>
      <c r="C9" s="47">
        <v>353892</v>
      </c>
      <c r="D9" s="47">
        <v>354060</v>
      </c>
      <c r="E9" s="48">
        <v>354209</v>
      </c>
      <c r="F9" s="48">
        <v>354421</v>
      </c>
      <c r="G9" s="48">
        <v>354602</v>
      </c>
      <c r="H9" s="48">
        <v>354661</v>
      </c>
      <c r="I9" s="48">
        <f>+H9+59</f>
        <v>354720</v>
      </c>
      <c r="J9" s="48">
        <f>AVERAGE(I9,K9)</f>
        <v>355058.5</v>
      </c>
      <c r="K9" s="48">
        <v>355397</v>
      </c>
      <c r="L9" s="48">
        <v>355457.5</v>
      </c>
      <c r="M9" s="48">
        <v>355518</v>
      </c>
      <c r="N9" s="18">
        <v>355587</v>
      </c>
      <c r="O9" s="18">
        <v>355687</v>
      </c>
      <c r="P9" s="18">
        <v>355794</v>
      </c>
      <c r="Q9" s="18">
        <f>+P9+118</f>
        <v>355912</v>
      </c>
      <c r="R9" s="18">
        <f>+Q9+118</f>
        <v>356030</v>
      </c>
      <c r="S9" s="18">
        <v>356147</v>
      </c>
      <c r="T9" s="18">
        <v>356335</v>
      </c>
      <c r="U9" s="18">
        <v>356464</v>
      </c>
      <c r="V9" s="18">
        <v>356581</v>
      </c>
      <c r="W9" s="18">
        <v>356780</v>
      </c>
      <c r="X9" s="18">
        <v>357095</v>
      </c>
      <c r="Y9" s="18">
        <v>357324</v>
      </c>
      <c r="Z9" s="18">
        <v>357473</v>
      </c>
      <c r="AA9" s="18">
        <v>357555</v>
      </c>
      <c r="AB9" s="18">
        <v>357706</v>
      </c>
      <c r="AC9" s="18">
        <v>357833</v>
      </c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49"/>
      <c r="BO9" s="50">
        <f t="shared" ref="BO9:BO30" si="0">+BP9/7</f>
        <v>45</v>
      </c>
      <c r="BP9" s="50">
        <f t="shared" ref="BP9:BP30" si="1">BO36</f>
        <v>315</v>
      </c>
      <c r="BQ9" s="51">
        <f t="shared" ref="BQ9:BQ30" si="2">MAX(C9:BM9)</f>
        <v>357833</v>
      </c>
      <c r="BT9" s="46"/>
      <c r="BU9" s="46"/>
    </row>
    <row r="10" spans="1:75" x14ac:dyDescent="0.15">
      <c r="A10" s="19" t="s">
        <v>42</v>
      </c>
      <c r="B10" s="46"/>
      <c r="C10" s="47">
        <v>325641</v>
      </c>
      <c r="D10" s="47">
        <v>325746</v>
      </c>
      <c r="E10" s="48">
        <f>+D10+77</f>
        <v>325823</v>
      </c>
      <c r="F10" s="48">
        <f t="shared" ref="F10:K10" si="3">+E10+77</f>
        <v>325900</v>
      </c>
      <c r="G10" s="48">
        <f t="shared" si="3"/>
        <v>325977</v>
      </c>
      <c r="H10" s="48">
        <f t="shared" si="3"/>
        <v>326054</v>
      </c>
      <c r="I10" s="48">
        <f t="shared" si="3"/>
        <v>326131</v>
      </c>
      <c r="J10" s="48">
        <f t="shared" si="3"/>
        <v>326208</v>
      </c>
      <c r="K10" s="48">
        <f t="shared" si="3"/>
        <v>326285</v>
      </c>
      <c r="L10" s="48">
        <v>326361</v>
      </c>
      <c r="M10" s="48">
        <v>326437</v>
      </c>
      <c r="N10" s="18">
        <v>326513</v>
      </c>
      <c r="O10" s="18">
        <v>326572</v>
      </c>
      <c r="P10" s="18">
        <f>+O10+59</f>
        <v>326631</v>
      </c>
      <c r="Q10" s="18">
        <f>+P10+59</f>
        <v>326690</v>
      </c>
      <c r="R10" s="18">
        <f t="shared" ref="R10:V10" si="4">+Q10+59</f>
        <v>326749</v>
      </c>
      <c r="S10" s="18">
        <f t="shared" si="4"/>
        <v>326808</v>
      </c>
      <c r="T10" s="18">
        <f t="shared" si="4"/>
        <v>326867</v>
      </c>
      <c r="U10" s="18">
        <f t="shared" si="4"/>
        <v>326926</v>
      </c>
      <c r="V10" s="18">
        <f t="shared" si="4"/>
        <v>326985</v>
      </c>
      <c r="W10" s="18">
        <f>+V10+59</f>
        <v>327044</v>
      </c>
      <c r="X10" s="18">
        <f>+W10+59</f>
        <v>327103</v>
      </c>
      <c r="Y10" s="18">
        <f>+X10+70</f>
        <v>327173</v>
      </c>
      <c r="Z10" s="18">
        <f>+Y10+105</f>
        <v>327278</v>
      </c>
      <c r="AA10" s="18">
        <f>+Z10+105</f>
        <v>327383</v>
      </c>
      <c r="AB10" s="18">
        <f>+AA10+105</f>
        <v>327488</v>
      </c>
      <c r="AC10" s="18">
        <f>+AB10+105</f>
        <v>327593</v>
      </c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49"/>
      <c r="BO10" s="50">
        <f t="shared" si="0"/>
        <v>15</v>
      </c>
      <c r="BP10" s="50">
        <f t="shared" si="1"/>
        <v>105</v>
      </c>
      <c r="BQ10" s="51">
        <f t="shared" si="2"/>
        <v>327593</v>
      </c>
      <c r="BT10" s="46"/>
      <c r="BU10" s="46"/>
      <c r="BW10" s="52"/>
    </row>
    <row r="11" spans="1:75" x14ac:dyDescent="0.15">
      <c r="A11" s="19" t="s">
        <v>48</v>
      </c>
      <c r="B11" s="46"/>
      <c r="C11" s="47">
        <v>13601.5</v>
      </c>
      <c r="D11" s="47">
        <v>14093</v>
      </c>
      <c r="E11" s="48">
        <v>14389</v>
      </c>
      <c r="F11" s="48">
        <v>15145</v>
      </c>
      <c r="G11" s="48">
        <v>15638</v>
      </c>
      <c r="H11" s="48">
        <v>16122</v>
      </c>
      <c r="I11" s="48">
        <f>+H11+488</f>
        <v>16610</v>
      </c>
      <c r="J11" s="48">
        <f>AVERAGE(I11,K11)</f>
        <v>17042</v>
      </c>
      <c r="K11" s="48">
        <v>17474</v>
      </c>
      <c r="L11" s="48">
        <v>17829.5</v>
      </c>
      <c r="M11" s="48">
        <v>18185</v>
      </c>
      <c r="N11" s="18">
        <v>18541</v>
      </c>
      <c r="O11" s="18">
        <v>19004</v>
      </c>
      <c r="P11" s="18">
        <v>19716</v>
      </c>
      <c r="Q11" s="86">
        <f>+P11+302</f>
        <v>20018</v>
      </c>
      <c r="R11" s="18">
        <f>+Q11+302</f>
        <v>20320</v>
      </c>
      <c r="S11" s="18">
        <v>20621</v>
      </c>
      <c r="T11" s="18">
        <v>21391</v>
      </c>
      <c r="U11" s="18">
        <v>21811</v>
      </c>
      <c r="V11" s="18">
        <f>+U11+420</f>
        <v>22231</v>
      </c>
      <c r="W11" s="18">
        <v>22811</v>
      </c>
      <c r="X11" s="18">
        <v>23426</v>
      </c>
      <c r="Y11" s="18">
        <v>23932</v>
      </c>
      <c r="Z11" s="18">
        <v>24381</v>
      </c>
      <c r="AA11" s="18">
        <v>24968</v>
      </c>
      <c r="AB11" s="18">
        <v>25486</v>
      </c>
      <c r="AC11" s="18">
        <v>25955</v>
      </c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49"/>
      <c r="BO11" s="50">
        <f t="shared" si="0"/>
        <v>110</v>
      </c>
      <c r="BP11" s="50">
        <f t="shared" si="1"/>
        <v>770</v>
      </c>
      <c r="BQ11" s="51">
        <f t="shared" si="2"/>
        <v>25955</v>
      </c>
      <c r="BT11" s="46"/>
      <c r="BU11" s="46"/>
      <c r="BW11" s="52"/>
    </row>
    <row r="12" spans="1:75" x14ac:dyDescent="0.15">
      <c r="A12" s="19" t="s">
        <v>55</v>
      </c>
      <c r="B12" s="46"/>
      <c r="C12" s="47">
        <v>32948</v>
      </c>
      <c r="D12" s="47">
        <v>33615</v>
      </c>
      <c r="E12" s="48">
        <v>34628</v>
      </c>
      <c r="F12" s="48">
        <v>35560</v>
      </c>
      <c r="G12" s="48">
        <f>AVERAGE(H12,F12)</f>
        <v>36069</v>
      </c>
      <c r="H12" s="48">
        <v>36578</v>
      </c>
      <c r="I12" s="48">
        <v>37371</v>
      </c>
      <c r="J12" s="48">
        <v>37390</v>
      </c>
      <c r="K12" s="48">
        <v>38949</v>
      </c>
      <c r="L12" s="48">
        <v>39717.5</v>
      </c>
      <c r="M12" s="48">
        <v>40486</v>
      </c>
      <c r="N12" s="18">
        <v>40892</v>
      </c>
      <c r="O12" s="18">
        <v>41475</v>
      </c>
      <c r="P12" s="18">
        <f>+O12+583</f>
        <v>42058</v>
      </c>
      <c r="Q12" s="86">
        <f>+P12+1019</f>
        <v>43077</v>
      </c>
      <c r="R12" s="18">
        <f>+Q12+1019</f>
        <v>44096</v>
      </c>
      <c r="S12" s="18">
        <v>45114</v>
      </c>
      <c r="T12" s="18">
        <v>46010</v>
      </c>
      <c r="U12" s="18">
        <v>46742</v>
      </c>
      <c r="V12" s="18">
        <v>48011</v>
      </c>
      <c r="W12" s="18">
        <v>48738</v>
      </c>
      <c r="X12" s="18">
        <v>49740</v>
      </c>
      <c r="Y12" s="18">
        <v>50327</v>
      </c>
      <c r="Z12" s="18">
        <v>51006</v>
      </c>
      <c r="AA12" s="18">
        <v>51922</v>
      </c>
      <c r="AB12" s="18">
        <v>52748</v>
      </c>
      <c r="AC12" s="18">
        <v>53460</v>
      </c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49"/>
      <c r="BO12" s="50">
        <f t="shared" si="0"/>
        <v>181.28571428571428</v>
      </c>
      <c r="BP12" s="50">
        <f t="shared" si="1"/>
        <v>1269</v>
      </c>
      <c r="BQ12" s="51">
        <f>MAX(C12:BM12)</f>
        <v>53460</v>
      </c>
      <c r="BT12" s="46"/>
      <c r="BU12" s="31"/>
    </row>
    <row r="13" spans="1:75" x14ac:dyDescent="0.15">
      <c r="A13" s="19" t="s">
        <v>60</v>
      </c>
      <c r="B13" s="46"/>
      <c r="C13" s="47">
        <v>5555.5</v>
      </c>
      <c r="D13" s="47">
        <v>6392</v>
      </c>
      <c r="E13" s="48">
        <v>6851</v>
      </c>
      <c r="F13" s="48">
        <v>8403</v>
      </c>
      <c r="G13" s="48">
        <v>9241</v>
      </c>
      <c r="H13" s="48">
        <f t="shared" ref="H13:O13" si="5">+G13+531</f>
        <v>9772</v>
      </c>
      <c r="I13" s="48">
        <f t="shared" si="5"/>
        <v>10303</v>
      </c>
      <c r="J13" s="48">
        <f t="shared" si="5"/>
        <v>10834</v>
      </c>
      <c r="K13" s="48">
        <f t="shared" si="5"/>
        <v>11365</v>
      </c>
      <c r="L13" s="48">
        <f t="shared" si="5"/>
        <v>11896</v>
      </c>
      <c r="M13" s="48">
        <f t="shared" si="5"/>
        <v>12427</v>
      </c>
      <c r="N13" s="18">
        <f t="shared" si="5"/>
        <v>12958</v>
      </c>
      <c r="O13" s="18">
        <f t="shared" si="5"/>
        <v>13489</v>
      </c>
      <c r="P13" s="18">
        <v>14021</v>
      </c>
      <c r="Q13" s="86">
        <f>+P13+545</f>
        <v>14566</v>
      </c>
      <c r="R13" s="18">
        <f>+Q13+545</f>
        <v>15111</v>
      </c>
      <c r="S13" s="18">
        <v>15657</v>
      </c>
      <c r="T13" s="18">
        <v>15657</v>
      </c>
      <c r="U13" s="18">
        <v>17259</v>
      </c>
      <c r="V13" s="18">
        <v>18509</v>
      </c>
      <c r="W13" s="18">
        <v>19043</v>
      </c>
      <c r="X13" s="18">
        <v>20039</v>
      </c>
      <c r="Y13" s="18">
        <v>20972</v>
      </c>
      <c r="Z13" s="18">
        <v>21332</v>
      </c>
      <c r="AA13" s="18">
        <v>21847</v>
      </c>
      <c r="AB13" s="18">
        <f>+AA13+320</f>
        <v>22167</v>
      </c>
      <c r="AC13" s="18">
        <f>+AB13+320</f>
        <v>22487</v>
      </c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49"/>
      <c r="BO13" s="50">
        <f t="shared" si="0"/>
        <v>228.85714285714286</v>
      </c>
      <c r="BP13" s="50">
        <f t="shared" si="1"/>
        <v>1602</v>
      </c>
      <c r="BQ13" s="51">
        <f t="shared" si="2"/>
        <v>22487</v>
      </c>
      <c r="BT13" s="46"/>
      <c r="BU13" s="46"/>
    </row>
    <row r="14" spans="1:75" x14ac:dyDescent="0.15">
      <c r="A14" s="19" t="s">
        <v>63</v>
      </c>
      <c r="B14" s="46"/>
      <c r="C14" s="47">
        <v>42320</v>
      </c>
      <c r="D14" s="47">
        <v>42417</v>
      </c>
      <c r="E14" s="48">
        <v>42562</v>
      </c>
      <c r="F14" s="48">
        <f>+E14+91</f>
        <v>42653</v>
      </c>
      <c r="G14" s="48">
        <f>+F14+91</f>
        <v>42744</v>
      </c>
      <c r="H14" s="48">
        <v>42834</v>
      </c>
      <c r="I14" s="48">
        <v>43143</v>
      </c>
      <c r="J14" s="48">
        <v>43285</v>
      </c>
      <c r="K14" s="48">
        <f>+J14+142</f>
        <v>43427</v>
      </c>
      <c r="L14" s="48">
        <v>43469</v>
      </c>
      <c r="M14" s="48">
        <v>43511</v>
      </c>
      <c r="N14" s="18">
        <v>43552</v>
      </c>
      <c r="O14" s="18">
        <v>43660</v>
      </c>
      <c r="P14" s="18">
        <f>+O14+108</f>
        <v>43768</v>
      </c>
      <c r="Q14" s="86">
        <f>+P14+104</f>
        <v>43872</v>
      </c>
      <c r="R14" s="18">
        <f t="shared" ref="R14:S14" si="6">+Q14+104</f>
        <v>43976</v>
      </c>
      <c r="S14" s="18">
        <f t="shared" si="6"/>
        <v>44080</v>
      </c>
      <c r="T14" s="18">
        <v>44202</v>
      </c>
      <c r="U14" s="18">
        <v>44597</v>
      </c>
      <c r="V14" s="18">
        <f>+U14+97</f>
        <v>44694</v>
      </c>
      <c r="W14" s="18">
        <f>+V14+97</f>
        <v>44791</v>
      </c>
      <c r="X14" s="18">
        <v>44888</v>
      </c>
      <c r="Y14" s="18">
        <v>45139</v>
      </c>
      <c r="Z14" s="18">
        <v>45250</v>
      </c>
      <c r="AA14" s="18">
        <v>45434</v>
      </c>
      <c r="AB14" s="18">
        <v>45742</v>
      </c>
      <c r="AC14" s="18">
        <v>45921</v>
      </c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49"/>
      <c r="BO14" s="50">
        <f t="shared" si="0"/>
        <v>56.428571428571431</v>
      </c>
      <c r="BP14" s="50">
        <f t="shared" si="1"/>
        <v>395</v>
      </c>
      <c r="BQ14" s="51">
        <f t="shared" si="2"/>
        <v>45921</v>
      </c>
      <c r="BT14" s="46"/>
      <c r="BU14" s="46"/>
    </row>
    <row r="15" spans="1:75" x14ac:dyDescent="0.15">
      <c r="A15" s="19" t="s">
        <v>68</v>
      </c>
      <c r="B15" s="46"/>
      <c r="C15" s="47">
        <f>D15-327</f>
        <v>65320</v>
      </c>
      <c r="D15" s="47">
        <v>65647</v>
      </c>
      <c r="E15" s="48">
        <f>AVERAGE(D15,F15)</f>
        <v>65716</v>
      </c>
      <c r="F15" s="48">
        <v>65785</v>
      </c>
      <c r="G15" s="48">
        <f>+F15+69</f>
        <v>65854</v>
      </c>
      <c r="H15" s="48">
        <f>+G15+330</f>
        <v>66184</v>
      </c>
      <c r="I15" s="48">
        <f>+H15+330</f>
        <v>66514</v>
      </c>
      <c r="J15" s="48">
        <f>+AVERAGE(I15,K15)</f>
        <v>66605.5</v>
      </c>
      <c r="K15" s="48">
        <v>66697</v>
      </c>
      <c r="L15" s="48">
        <v>67147</v>
      </c>
      <c r="M15" s="48">
        <v>67597</v>
      </c>
      <c r="N15" s="18">
        <f>+M15+1014</f>
        <v>68611</v>
      </c>
      <c r="O15" s="18">
        <f t="shared" ref="O15:T15" si="7">+N15+1014</f>
        <v>69625</v>
      </c>
      <c r="P15" s="18">
        <f t="shared" si="7"/>
        <v>70639</v>
      </c>
      <c r="Q15" s="86">
        <f t="shared" si="7"/>
        <v>71653</v>
      </c>
      <c r="R15" s="18">
        <f t="shared" si="7"/>
        <v>72667</v>
      </c>
      <c r="S15" s="18">
        <f t="shared" si="7"/>
        <v>73681</v>
      </c>
      <c r="T15" s="18">
        <f t="shared" si="7"/>
        <v>74695</v>
      </c>
      <c r="U15" s="18">
        <v>74695</v>
      </c>
      <c r="V15" s="18">
        <f>+AVERAGE(W15,U15)</f>
        <v>74848</v>
      </c>
      <c r="W15" s="18">
        <v>75001</v>
      </c>
      <c r="X15" s="18">
        <v>75596</v>
      </c>
      <c r="Y15" s="18">
        <v>75646</v>
      </c>
      <c r="Z15" s="18">
        <v>75685</v>
      </c>
      <c r="AA15" s="18">
        <v>75724</v>
      </c>
      <c r="AB15" s="18">
        <v>75908</v>
      </c>
      <c r="AC15" s="18">
        <v>76146</v>
      </c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49"/>
      <c r="BO15" s="50">
        <f>+BP15/7</f>
        <v>144.85714285714286</v>
      </c>
      <c r="BP15" s="50">
        <f t="shared" si="1"/>
        <v>1014</v>
      </c>
      <c r="BQ15" s="51">
        <f t="shared" si="2"/>
        <v>76146</v>
      </c>
      <c r="BT15" s="46"/>
      <c r="BU15" s="46"/>
    </row>
    <row r="16" spans="1:75" x14ac:dyDescent="0.15">
      <c r="A16" s="19" t="s">
        <v>72</v>
      </c>
      <c r="B16" s="46"/>
      <c r="C16" s="47">
        <v>50189</v>
      </c>
      <c r="D16" s="47">
        <v>50725</v>
      </c>
      <c r="E16" s="48">
        <v>50865</v>
      </c>
      <c r="F16" s="48">
        <v>51192</v>
      </c>
      <c r="G16" s="48">
        <v>51270</v>
      </c>
      <c r="H16" s="48">
        <v>51445</v>
      </c>
      <c r="I16" s="48">
        <f>+H16+175</f>
        <v>51620</v>
      </c>
      <c r="J16" s="48">
        <f t="shared" ref="J16:J20" si="8">+AVERAGE(I16,K16)</f>
        <v>51719.5</v>
      </c>
      <c r="K16" s="48">
        <v>51819</v>
      </c>
      <c r="L16" s="48">
        <v>51919</v>
      </c>
      <c r="M16" s="48">
        <v>52019</v>
      </c>
      <c r="N16" s="18">
        <v>52567</v>
      </c>
      <c r="O16" s="18">
        <f>+N16+100</f>
        <v>52667</v>
      </c>
      <c r="P16" s="18">
        <f>+O16+100</f>
        <v>52767</v>
      </c>
      <c r="Q16" s="86">
        <f>+P16+114</f>
        <v>52881</v>
      </c>
      <c r="R16" s="18">
        <f>+Q16+114</f>
        <v>52995</v>
      </c>
      <c r="S16" s="18">
        <v>53109</v>
      </c>
      <c r="T16" s="18">
        <v>53366</v>
      </c>
      <c r="U16" s="18">
        <v>53586</v>
      </c>
      <c r="V16" s="18">
        <f t="shared" ref="V16:V18" si="9">+AVERAGE(W16,U16)</f>
        <v>53760</v>
      </c>
      <c r="W16" s="18">
        <v>53934</v>
      </c>
      <c r="X16" s="18">
        <f>+W16+174</f>
        <v>54108</v>
      </c>
      <c r="Y16" s="18">
        <v>54415</v>
      </c>
      <c r="Z16" s="18">
        <v>54495</v>
      </c>
      <c r="AA16" s="18">
        <v>54754</v>
      </c>
      <c r="AB16" s="18">
        <v>54854</v>
      </c>
      <c r="AC16" s="18">
        <v>55007</v>
      </c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49"/>
      <c r="BO16" s="50">
        <f t="shared" si="0"/>
        <v>43.857142857142854</v>
      </c>
      <c r="BP16" s="50">
        <f t="shared" si="1"/>
        <v>307</v>
      </c>
      <c r="BQ16" s="51">
        <f t="shared" si="2"/>
        <v>55007</v>
      </c>
      <c r="BT16" s="46"/>
      <c r="BU16" s="46"/>
    </row>
    <row r="17" spans="1:74" x14ac:dyDescent="0.15">
      <c r="A17" s="26" t="s">
        <v>77</v>
      </c>
      <c r="B17" s="46"/>
      <c r="C17" s="47">
        <v>118578</v>
      </c>
      <c r="D17" s="47">
        <v>118689</v>
      </c>
      <c r="E17" s="48">
        <v>119425</v>
      </c>
      <c r="F17" s="48">
        <v>119837</v>
      </c>
      <c r="G17" s="48">
        <v>120318</v>
      </c>
      <c r="H17" s="48">
        <v>120318</v>
      </c>
      <c r="I17" s="48">
        <v>121033</v>
      </c>
      <c r="J17" s="48">
        <f t="shared" si="8"/>
        <v>121409</v>
      </c>
      <c r="K17" s="48">
        <v>121785</v>
      </c>
      <c r="L17" s="48">
        <v>122280.5</v>
      </c>
      <c r="M17" s="48">
        <v>122776</v>
      </c>
      <c r="N17" s="18">
        <v>123272</v>
      </c>
      <c r="O17" s="18">
        <v>123752</v>
      </c>
      <c r="P17" s="18">
        <v>124625</v>
      </c>
      <c r="Q17" s="86">
        <f>+P17+307</f>
        <v>124932</v>
      </c>
      <c r="R17" s="18">
        <f>+Q17+307</f>
        <v>125239</v>
      </c>
      <c r="S17" s="18">
        <v>125546</v>
      </c>
      <c r="T17" s="18">
        <v>126158</v>
      </c>
      <c r="U17" s="18">
        <v>126678</v>
      </c>
      <c r="V17" s="18">
        <f t="shared" si="9"/>
        <v>127182.5</v>
      </c>
      <c r="W17" s="18">
        <v>127687</v>
      </c>
      <c r="X17" s="18">
        <v>128321</v>
      </c>
      <c r="Y17" s="18">
        <v>128865</v>
      </c>
      <c r="Z17" s="18">
        <v>129366</v>
      </c>
      <c r="AA17" s="18">
        <v>129887</v>
      </c>
      <c r="AB17" s="18">
        <v>130427</v>
      </c>
      <c r="AC17" s="18">
        <v>130876</v>
      </c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49"/>
      <c r="BO17" s="50">
        <f t="shared" si="0"/>
        <v>124.71428571428571</v>
      </c>
      <c r="BP17" s="50">
        <f t="shared" si="1"/>
        <v>873</v>
      </c>
      <c r="BQ17" s="51">
        <f t="shared" si="2"/>
        <v>130876</v>
      </c>
      <c r="BT17" s="46"/>
      <c r="BU17" s="46"/>
    </row>
    <row r="18" spans="1:74" x14ac:dyDescent="0.15">
      <c r="A18" s="19" t="s">
        <v>82</v>
      </c>
      <c r="B18" s="46"/>
      <c r="C18" s="47">
        <v>145724</v>
      </c>
      <c r="D18" s="47">
        <v>145880</v>
      </c>
      <c r="E18" s="48">
        <v>146792</v>
      </c>
      <c r="F18" s="48">
        <v>147328</v>
      </c>
      <c r="G18" s="48">
        <v>148158</v>
      </c>
      <c r="H18" s="48">
        <v>148382</v>
      </c>
      <c r="I18" s="48">
        <v>149082</v>
      </c>
      <c r="J18" s="48">
        <f t="shared" si="8"/>
        <v>149338.5</v>
      </c>
      <c r="K18" s="48">
        <v>149595</v>
      </c>
      <c r="L18" s="48">
        <v>149978</v>
      </c>
      <c r="M18" s="48">
        <v>150361</v>
      </c>
      <c r="N18" s="18">
        <v>150761</v>
      </c>
      <c r="O18" s="18">
        <f>+N18+400</f>
        <v>151161</v>
      </c>
      <c r="P18" s="18">
        <v>152633</v>
      </c>
      <c r="Q18" s="86">
        <f>+P18+592</f>
        <v>153225</v>
      </c>
      <c r="R18" s="18">
        <f t="shared" ref="R18:S18" si="10">+Q18+592</f>
        <v>153817</v>
      </c>
      <c r="S18" s="18">
        <f t="shared" si="10"/>
        <v>154409</v>
      </c>
      <c r="T18" s="18">
        <v>155000</v>
      </c>
      <c r="U18" s="18">
        <v>155062</v>
      </c>
      <c r="V18" s="18">
        <f t="shared" si="9"/>
        <v>155854</v>
      </c>
      <c r="W18" s="18">
        <v>156646</v>
      </c>
      <c r="X18" s="18">
        <v>157438</v>
      </c>
      <c r="Y18" s="18">
        <v>158265</v>
      </c>
      <c r="Z18" s="18">
        <v>159151</v>
      </c>
      <c r="AA18" s="18">
        <v>159764</v>
      </c>
      <c r="AB18" s="18">
        <v>160522</v>
      </c>
      <c r="AC18" s="18">
        <v>161077</v>
      </c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49"/>
      <c r="BO18" s="50">
        <f t="shared" si="0"/>
        <v>210.28571428571428</v>
      </c>
      <c r="BP18" s="50">
        <f t="shared" si="1"/>
        <v>1472</v>
      </c>
      <c r="BQ18" s="51">
        <f t="shared" si="2"/>
        <v>161077</v>
      </c>
      <c r="BT18" s="46"/>
      <c r="BU18" s="46"/>
    </row>
    <row r="19" spans="1:74" x14ac:dyDescent="0.15">
      <c r="A19" s="19" t="s">
        <v>85</v>
      </c>
      <c r="B19" s="46"/>
      <c r="C19" s="47">
        <v>85229</v>
      </c>
      <c r="D19" s="47">
        <v>86192</v>
      </c>
      <c r="E19" s="48">
        <f>AVERAGE(D19,F19)</f>
        <v>87195.5</v>
      </c>
      <c r="F19" s="48">
        <v>88199</v>
      </c>
      <c r="G19" s="48">
        <f>+AVERAGE(F19,H19)</f>
        <v>89123</v>
      </c>
      <c r="H19" s="48">
        <v>90047</v>
      </c>
      <c r="I19" s="48">
        <v>90957</v>
      </c>
      <c r="J19" s="48">
        <f t="shared" si="8"/>
        <v>91943.5</v>
      </c>
      <c r="K19" s="48">
        <v>92930</v>
      </c>
      <c r="L19" s="48">
        <v>93736.5</v>
      </c>
      <c r="M19" s="48">
        <v>94543</v>
      </c>
      <c r="N19" s="18">
        <v>95350</v>
      </c>
      <c r="O19" s="18">
        <v>96267</v>
      </c>
      <c r="P19" s="18">
        <f>+O19+900</f>
        <v>97167</v>
      </c>
      <c r="Q19" s="86">
        <f>+P19+702</f>
        <v>97869</v>
      </c>
      <c r="R19" s="18">
        <f>+Q19+702</f>
        <v>98571</v>
      </c>
      <c r="S19" s="18">
        <v>99272</v>
      </c>
      <c r="T19" s="18">
        <f>+S19+702</f>
        <v>99974</v>
      </c>
      <c r="U19" s="18">
        <f>+T19+702</f>
        <v>100676</v>
      </c>
      <c r="V19" s="18">
        <f>+AVERAGE(W19,U19)</f>
        <v>101741.5</v>
      </c>
      <c r="W19" s="18">
        <v>102807</v>
      </c>
      <c r="X19" s="18">
        <v>104319</v>
      </c>
      <c r="Y19" s="18">
        <v>104843</v>
      </c>
      <c r="Z19" s="18">
        <f>+AVERAGE(AA19,Y19)</f>
        <v>105726.5</v>
      </c>
      <c r="AA19" s="18">
        <v>106610</v>
      </c>
      <c r="AB19" s="18">
        <v>50980</v>
      </c>
      <c r="AC19" s="18">
        <v>51503</v>
      </c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49"/>
      <c r="BO19" s="50">
        <f t="shared" si="0"/>
        <v>216</v>
      </c>
      <c r="BP19" s="50">
        <f t="shared" si="1"/>
        <v>1512</v>
      </c>
      <c r="BQ19" s="51">
        <f t="shared" si="2"/>
        <v>106610</v>
      </c>
      <c r="BT19" s="46"/>
      <c r="BU19" s="46"/>
    </row>
    <row r="20" spans="1:74" x14ac:dyDescent="0.15">
      <c r="A20" s="19" t="s">
        <v>89</v>
      </c>
      <c r="B20" s="46"/>
      <c r="C20" s="47">
        <v>37255</v>
      </c>
      <c r="D20" s="47">
        <v>37779</v>
      </c>
      <c r="E20" s="48">
        <v>38329</v>
      </c>
      <c r="F20" s="48">
        <v>38945</v>
      </c>
      <c r="G20" s="48">
        <v>39609</v>
      </c>
      <c r="H20" s="48">
        <v>40086</v>
      </c>
      <c r="I20" s="48">
        <v>40813</v>
      </c>
      <c r="J20" s="48">
        <f t="shared" si="8"/>
        <v>41284</v>
      </c>
      <c r="K20" s="48">
        <v>41755</v>
      </c>
      <c r="L20" s="48">
        <v>42294.5</v>
      </c>
      <c r="M20" s="48">
        <v>42834</v>
      </c>
      <c r="N20" s="18">
        <v>43316</v>
      </c>
      <c r="O20" s="18">
        <v>43792</v>
      </c>
      <c r="P20" s="18">
        <v>44461</v>
      </c>
      <c r="Q20" s="86">
        <f>+P20+529</f>
        <v>44990</v>
      </c>
      <c r="R20" s="18">
        <f>+Q20+529</f>
        <v>45519</v>
      </c>
      <c r="S20" s="18">
        <v>46047</v>
      </c>
      <c r="T20" s="18">
        <v>46687</v>
      </c>
      <c r="U20" s="18">
        <v>47272</v>
      </c>
      <c r="V20" s="18">
        <v>48006</v>
      </c>
      <c r="W20" s="18">
        <v>48381</v>
      </c>
      <c r="X20" s="18">
        <v>49004</v>
      </c>
      <c r="Y20" s="18">
        <f>+X20+623</f>
        <v>49627</v>
      </c>
      <c r="Z20" s="18">
        <v>49705</v>
      </c>
      <c r="AA20" s="18">
        <v>50279</v>
      </c>
      <c r="AB20" s="18">
        <v>50980</v>
      </c>
      <c r="AC20" s="18">
        <v>51812</v>
      </c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49"/>
      <c r="BO20" s="50">
        <f t="shared" si="0"/>
        <v>118.85714285714286</v>
      </c>
      <c r="BP20" s="50">
        <f t="shared" si="1"/>
        <v>832</v>
      </c>
      <c r="BQ20" s="51">
        <f t="shared" si="2"/>
        <v>51812</v>
      </c>
      <c r="BT20" s="46"/>
      <c r="BU20" s="46"/>
    </row>
    <row r="21" spans="1:74" x14ac:dyDescent="0.15">
      <c r="A21" s="19" t="s">
        <v>93</v>
      </c>
      <c r="B21" s="46"/>
      <c r="C21" s="47">
        <v>83502</v>
      </c>
      <c r="D21" s="47">
        <f>+AVERAGE(E21,C21)</f>
        <v>83772</v>
      </c>
      <c r="E21" s="48">
        <v>84042</v>
      </c>
      <c r="F21" s="48">
        <v>84734</v>
      </c>
      <c r="G21" s="48">
        <v>85392</v>
      </c>
      <c r="H21" s="48">
        <f>+G21+658</f>
        <v>86050</v>
      </c>
      <c r="I21" s="48">
        <v>86555</v>
      </c>
      <c r="J21" s="48">
        <v>87356</v>
      </c>
      <c r="K21" s="48">
        <f>+J21+801</f>
        <v>88157</v>
      </c>
      <c r="L21" s="48">
        <v>88611</v>
      </c>
      <c r="M21" s="48">
        <v>89065</v>
      </c>
      <c r="N21" s="18">
        <v>89519</v>
      </c>
      <c r="O21" s="18">
        <f>+N21+454</f>
        <v>89973</v>
      </c>
      <c r="P21" s="18">
        <f>+O21+454</f>
        <v>90427</v>
      </c>
      <c r="Q21" s="86">
        <f>+P21+452</f>
        <v>90879</v>
      </c>
      <c r="R21" s="18">
        <f t="shared" ref="R21:S21" si="11">+Q21+452</f>
        <v>91331</v>
      </c>
      <c r="S21" s="18">
        <f t="shared" si="11"/>
        <v>91783</v>
      </c>
      <c r="T21" s="18">
        <v>92235</v>
      </c>
      <c r="U21" s="18">
        <v>93485</v>
      </c>
      <c r="V21" s="18">
        <f>+AVERAGE(W21,U21)</f>
        <v>94128</v>
      </c>
      <c r="W21" s="18">
        <v>94771</v>
      </c>
      <c r="X21" s="18">
        <f>+W21+643</f>
        <v>95414</v>
      </c>
      <c r="Y21" s="18">
        <v>96060</v>
      </c>
      <c r="Z21" s="18">
        <f>+AVERAGE(AA21,Y21)</f>
        <v>96540</v>
      </c>
      <c r="AA21" s="18">
        <v>97020</v>
      </c>
      <c r="AB21" s="18">
        <f>+AA21+480</f>
        <v>97500</v>
      </c>
      <c r="AC21" s="18">
        <v>98391</v>
      </c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49"/>
      <c r="BO21" s="50">
        <f t="shared" si="0"/>
        <v>178.57142857142858</v>
      </c>
      <c r="BP21" s="50">
        <f t="shared" si="1"/>
        <v>1250</v>
      </c>
      <c r="BQ21" s="51">
        <f t="shared" si="2"/>
        <v>98391</v>
      </c>
      <c r="BT21" s="46"/>
      <c r="BU21" s="46"/>
    </row>
    <row r="22" spans="1:74" x14ac:dyDescent="0.15">
      <c r="A22" s="19" t="s">
        <v>96</v>
      </c>
      <c r="B22" s="46"/>
      <c r="C22" s="47">
        <v>132451</v>
      </c>
      <c r="D22" s="47">
        <v>132615</v>
      </c>
      <c r="E22" s="48">
        <v>132850</v>
      </c>
      <c r="F22" s="48">
        <v>132980</v>
      </c>
      <c r="G22" s="48">
        <v>132244</v>
      </c>
      <c r="H22" s="48">
        <v>133408</v>
      </c>
      <c r="I22" s="48">
        <f>+H22+147</f>
        <v>133555</v>
      </c>
      <c r="J22" s="48">
        <f>+I22+147</f>
        <v>133702</v>
      </c>
      <c r="K22" s="48">
        <v>133856</v>
      </c>
      <c r="L22" s="48">
        <v>134059.5</v>
      </c>
      <c r="M22" s="48">
        <v>134263</v>
      </c>
      <c r="N22" s="18">
        <v>134559</v>
      </c>
      <c r="O22" s="18">
        <f>+N22+296</f>
        <v>134855</v>
      </c>
      <c r="P22" s="18">
        <v>134926</v>
      </c>
      <c r="Q22" s="86">
        <f>+P22+164</f>
        <v>135090</v>
      </c>
      <c r="R22" s="18">
        <f>+Q22+164</f>
        <v>135254</v>
      </c>
      <c r="S22" s="18">
        <v>135419</v>
      </c>
      <c r="T22" s="18">
        <v>135820</v>
      </c>
      <c r="U22" s="18">
        <v>136064</v>
      </c>
      <c r="V22" s="18">
        <v>136284</v>
      </c>
      <c r="W22" s="18">
        <v>136461</v>
      </c>
      <c r="X22" s="18">
        <v>136728</v>
      </c>
      <c r="Y22" s="18">
        <v>137251</v>
      </c>
      <c r="Z22" s="18">
        <v>137423</v>
      </c>
      <c r="AA22" s="18">
        <v>137541</v>
      </c>
      <c r="AB22" s="18">
        <v>137709</v>
      </c>
      <c r="AC22" s="18">
        <v>137874</v>
      </c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49"/>
      <c r="BO22" s="50">
        <f t="shared" si="0"/>
        <v>74.714285714285708</v>
      </c>
      <c r="BP22" s="50">
        <f t="shared" si="1"/>
        <v>523</v>
      </c>
      <c r="BQ22" s="51">
        <f t="shared" si="2"/>
        <v>137874</v>
      </c>
      <c r="BT22" s="46"/>
      <c r="BU22" s="46"/>
    </row>
    <row r="23" spans="1:74" x14ac:dyDescent="0.15">
      <c r="A23" s="19" t="s">
        <v>99</v>
      </c>
      <c r="B23" s="46"/>
      <c r="C23" s="47">
        <v>86351</v>
      </c>
      <c r="D23" s="47">
        <v>87405</v>
      </c>
      <c r="E23" s="48">
        <v>88177</v>
      </c>
      <c r="F23" s="48">
        <v>88886</v>
      </c>
      <c r="G23" s="48">
        <v>89944</v>
      </c>
      <c r="H23" s="48">
        <v>90485</v>
      </c>
      <c r="I23" s="48">
        <f>+H23+541</f>
        <v>91026</v>
      </c>
      <c r="J23" s="48">
        <v>92338</v>
      </c>
      <c r="K23" s="48">
        <v>93226</v>
      </c>
      <c r="L23" s="48">
        <v>94106</v>
      </c>
      <c r="M23" s="48">
        <v>94986</v>
      </c>
      <c r="N23" s="18">
        <v>95786</v>
      </c>
      <c r="O23" s="18">
        <f>+N23+800</f>
        <v>96586</v>
      </c>
      <c r="P23" s="18">
        <v>96600</v>
      </c>
      <c r="Q23" s="86">
        <f>+P23+546</f>
        <v>97146</v>
      </c>
      <c r="R23" s="18">
        <f>+Q23+546</f>
        <v>97692</v>
      </c>
      <c r="S23" s="18">
        <v>98239</v>
      </c>
      <c r="T23" s="18">
        <v>99131</v>
      </c>
      <c r="U23" s="18">
        <v>100011</v>
      </c>
      <c r="V23" s="18">
        <f>+AVERAGE(W23,U23)</f>
        <v>100833.5</v>
      </c>
      <c r="W23" s="18">
        <v>101656</v>
      </c>
      <c r="X23" s="18">
        <v>102588</v>
      </c>
      <c r="Y23" s="18">
        <v>103554</v>
      </c>
      <c r="Z23" s="18">
        <v>104314</v>
      </c>
      <c r="AA23" s="18">
        <v>105285</v>
      </c>
      <c r="AB23" s="18">
        <v>106376</v>
      </c>
      <c r="AC23" s="18">
        <f>+AB23+1091</f>
        <v>107467</v>
      </c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49"/>
      <c r="BO23" s="50">
        <f t="shared" si="0"/>
        <v>155.85714285714286</v>
      </c>
      <c r="BP23" s="50">
        <f t="shared" si="1"/>
        <v>1091</v>
      </c>
      <c r="BQ23" s="51">
        <f t="shared" si="2"/>
        <v>107467</v>
      </c>
      <c r="BT23" s="46"/>
      <c r="BU23" s="46"/>
    </row>
    <row r="24" spans="1:74" x14ac:dyDescent="0.15">
      <c r="A24" s="19" t="s">
        <v>103</v>
      </c>
      <c r="B24" s="46"/>
      <c r="C24" s="47">
        <v>51456</v>
      </c>
      <c r="D24" s="47">
        <v>51663</v>
      </c>
      <c r="E24" s="48">
        <v>51982</v>
      </c>
      <c r="F24" s="48">
        <v>52278</v>
      </c>
      <c r="G24" s="48">
        <v>52501</v>
      </c>
      <c r="H24" s="48">
        <v>52761</v>
      </c>
      <c r="I24" s="48">
        <v>53143</v>
      </c>
      <c r="J24" s="48">
        <f t="shared" ref="J24:J25" si="12">+AVERAGE(I24,K24)</f>
        <v>53428</v>
      </c>
      <c r="K24" s="48">
        <v>53713</v>
      </c>
      <c r="L24" s="48">
        <v>53967.5</v>
      </c>
      <c r="M24" s="48">
        <v>54222</v>
      </c>
      <c r="N24" s="18">
        <v>54507</v>
      </c>
      <c r="O24" s="18">
        <v>54718</v>
      </c>
      <c r="P24" s="18">
        <v>55206</v>
      </c>
      <c r="Q24" s="86">
        <v>55486</v>
      </c>
      <c r="R24" s="18">
        <f>+Q24+280</f>
        <v>55766</v>
      </c>
      <c r="S24" s="18">
        <f>+R24+280</f>
        <v>56046</v>
      </c>
      <c r="T24" s="18">
        <v>56367</v>
      </c>
      <c r="U24" s="18">
        <v>56617</v>
      </c>
      <c r="V24" s="18">
        <f>+AVERAGE(W24,U24)</f>
        <v>56873.5</v>
      </c>
      <c r="W24" s="18">
        <v>57130</v>
      </c>
      <c r="X24" s="18">
        <f>+W24+829</f>
        <v>57959</v>
      </c>
      <c r="Y24" s="18">
        <v>57959</v>
      </c>
      <c r="Z24" s="18">
        <v>58128</v>
      </c>
      <c r="AA24" s="18">
        <v>58352</v>
      </c>
      <c r="AB24" s="18">
        <v>58606</v>
      </c>
      <c r="AC24" s="18">
        <v>58774</v>
      </c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49"/>
      <c r="BO24" s="50">
        <f t="shared" si="0"/>
        <v>118.42857142857143</v>
      </c>
      <c r="BP24" s="50">
        <f t="shared" si="1"/>
        <v>829</v>
      </c>
      <c r="BQ24" s="51">
        <f t="shared" si="2"/>
        <v>58774</v>
      </c>
      <c r="BT24" s="46"/>
      <c r="BU24" s="46"/>
    </row>
    <row r="25" spans="1:74" x14ac:dyDescent="0.15">
      <c r="A25" s="19" t="s">
        <v>106</v>
      </c>
      <c r="B25" s="46"/>
      <c r="C25" s="47">
        <v>86633</v>
      </c>
      <c r="D25" s="47">
        <v>87268</v>
      </c>
      <c r="E25" s="48">
        <v>87868</v>
      </c>
      <c r="F25" s="48">
        <v>88903</v>
      </c>
      <c r="G25" s="48">
        <v>89714</v>
      </c>
      <c r="H25" s="48">
        <v>90000</v>
      </c>
      <c r="I25" s="48">
        <v>90559</v>
      </c>
      <c r="J25" s="48">
        <f t="shared" si="12"/>
        <v>91328.5</v>
      </c>
      <c r="K25" s="48">
        <v>92098</v>
      </c>
      <c r="L25" s="48">
        <v>92718</v>
      </c>
      <c r="M25" s="48">
        <v>93338</v>
      </c>
      <c r="N25" s="18">
        <v>93732</v>
      </c>
      <c r="O25" s="18">
        <v>94553</v>
      </c>
      <c r="P25" s="18">
        <v>95309</v>
      </c>
      <c r="Q25" s="86">
        <f>+P25+579</f>
        <v>95888</v>
      </c>
      <c r="R25" s="18">
        <f>+Q25+579</f>
        <v>96467</v>
      </c>
      <c r="S25" s="18">
        <v>97046</v>
      </c>
      <c r="T25" s="18">
        <v>97848</v>
      </c>
      <c r="U25" s="18">
        <v>98698</v>
      </c>
      <c r="V25" s="18">
        <v>99397</v>
      </c>
      <c r="W25" s="18">
        <v>100284</v>
      </c>
      <c r="X25" s="18">
        <v>101001</v>
      </c>
      <c r="Y25" s="18">
        <v>101920</v>
      </c>
      <c r="Z25" s="18">
        <v>102810</v>
      </c>
      <c r="AA25" s="18">
        <v>103660</v>
      </c>
      <c r="AB25" s="18">
        <v>104381</v>
      </c>
      <c r="AC25" s="18">
        <v>104782</v>
      </c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49"/>
      <c r="BO25" s="50">
        <f t="shared" si="0"/>
        <v>131.28571428571428</v>
      </c>
      <c r="BP25" s="50">
        <f t="shared" si="1"/>
        <v>919</v>
      </c>
      <c r="BQ25" s="51">
        <f t="shared" si="2"/>
        <v>104782</v>
      </c>
      <c r="BT25" s="46"/>
      <c r="BU25" s="46"/>
    </row>
    <row r="26" spans="1:74" x14ac:dyDescent="0.15">
      <c r="A26" s="19" t="s">
        <v>137</v>
      </c>
      <c r="B26" s="46"/>
      <c r="C26" s="47">
        <v>126520</v>
      </c>
      <c r="D26" s="47">
        <v>127290</v>
      </c>
      <c r="E26" s="48">
        <v>127774</v>
      </c>
      <c r="F26" s="48">
        <v>128271</v>
      </c>
      <c r="G26" s="48">
        <f>AVERAGE(H26,F26)</f>
        <v>128723</v>
      </c>
      <c r="H26" s="48">
        <v>129175</v>
      </c>
      <c r="I26" s="48">
        <f>+H26+452</f>
        <v>129627</v>
      </c>
      <c r="J26" s="48">
        <f>+I26+452</f>
        <v>130079</v>
      </c>
      <c r="K26" s="48">
        <f>+J26+452</f>
        <v>130531</v>
      </c>
      <c r="L26" s="48">
        <v>130951</v>
      </c>
      <c r="M26" s="48">
        <v>131371</v>
      </c>
      <c r="N26" s="18">
        <v>131791</v>
      </c>
      <c r="O26" s="18">
        <f>+N26+420</f>
        <v>132211</v>
      </c>
      <c r="P26" s="18">
        <f>+O26+420</f>
        <v>132631</v>
      </c>
      <c r="Q26" s="86">
        <v>133051</v>
      </c>
      <c r="R26" s="18">
        <f t="shared" ref="R26:U26" si="13">+S26-440</f>
        <v>24603</v>
      </c>
      <c r="S26" s="18">
        <f t="shared" si="13"/>
        <v>25043</v>
      </c>
      <c r="T26" s="18">
        <f t="shared" si="13"/>
        <v>25483</v>
      </c>
      <c r="U26" s="18">
        <f t="shared" si="13"/>
        <v>25923</v>
      </c>
      <c r="V26" s="18">
        <f>+W26-440</f>
        <v>26363</v>
      </c>
      <c r="W26" s="18">
        <v>26803</v>
      </c>
      <c r="X26" s="18">
        <v>27313</v>
      </c>
      <c r="Y26" s="18">
        <v>27821</v>
      </c>
      <c r="Z26" s="18">
        <f>+AVERAGE(AA26,Y26)</f>
        <v>28269.5</v>
      </c>
      <c r="AA26" s="18">
        <v>28718</v>
      </c>
      <c r="AB26" s="18">
        <v>29416</v>
      </c>
      <c r="AC26" s="18">
        <f>+AB26+698</f>
        <v>30114</v>
      </c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49"/>
      <c r="BO26" s="50">
        <f>+BP26/7</f>
        <v>99.714285714285708</v>
      </c>
      <c r="BP26" s="50">
        <f t="shared" si="1"/>
        <v>698</v>
      </c>
      <c r="BQ26" s="51">
        <f>MAX(R26:BM26)</f>
        <v>30114</v>
      </c>
      <c r="BT26" s="46"/>
      <c r="BU26" s="46"/>
    </row>
    <row r="27" spans="1:74" ht="14" customHeight="1" x14ac:dyDescent="0.15">
      <c r="A27" s="19" t="s">
        <v>112</v>
      </c>
      <c r="B27" s="53"/>
      <c r="C27" s="47">
        <v>169564</v>
      </c>
      <c r="D27" s="47">
        <v>170567</v>
      </c>
      <c r="E27" s="48">
        <v>171866</v>
      </c>
      <c r="F27" s="48">
        <v>173334</v>
      </c>
      <c r="G27" s="48">
        <f t="shared" ref="G27:P27" si="14">+F27+752</f>
        <v>174086</v>
      </c>
      <c r="H27" s="48">
        <f t="shared" si="14"/>
        <v>174838</v>
      </c>
      <c r="I27" s="48">
        <f t="shared" si="14"/>
        <v>175590</v>
      </c>
      <c r="J27" s="48">
        <f t="shared" si="14"/>
        <v>176342</v>
      </c>
      <c r="K27" s="48">
        <f t="shared" si="14"/>
        <v>177094</v>
      </c>
      <c r="L27" s="48">
        <f t="shared" si="14"/>
        <v>177846</v>
      </c>
      <c r="M27" s="48">
        <f t="shared" si="14"/>
        <v>178598</v>
      </c>
      <c r="N27" s="48">
        <f t="shared" si="14"/>
        <v>179350</v>
      </c>
      <c r="O27" s="48">
        <f t="shared" si="14"/>
        <v>180102</v>
      </c>
      <c r="P27" s="48">
        <f t="shared" si="14"/>
        <v>180854</v>
      </c>
      <c r="Q27" s="18">
        <v>181603</v>
      </c>
      <c r="R27" s="18">
        <f>+AVERAGE(Q27,S27)</f>
        <v>181672.5</v>
      </c>
      <c r="S27" s="18">
        <v>181742</v>
      </c>
      <c r="T27" s="18">
        <v>183455</v>
      </c>
      <c r="U27" s="18">
        <f>+T27+1200</f>
        <v>184655</v>
      </c>
      <c r="V27" s="18">
        <f t="shared" ref="V27:V29" si="15">+AVERAGE(W27,U27)</f>
        <v>185509</v>
      </c>
      <c r="W27" s="18">
        <v>186363</v>
      </c>
      <c r="X27" s="18">
        <v>187707</v>
      </c>
      <c r="Y27" s="18">
        <v>189251</v>
      </c>
      <c r="Z27" s="18">
        <v>190402</v>
      </c>
      <c r="AA27" s="18">
        <v>191478</v>
      </c>
      <c r="AB27" s="18">
        <v>192568</v>
      </c>
      <c r="AC27" s="18">
        <v>193129</v>
      </c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49"/>
      <c r="BO27" s="50">
        <f t="shared" si="0"/>
        <v>244.71428571428572</v>
      </c>
      <c r="BP27" s="50">
        <f t="shared" si="1"/>
        <v>1713</v>
      </c>
      <c r="BQ27" s="51">
        <f t="shared" si="2"/>
        <v>193129</v>
      </c>
    </row>
    <row r="28" spans="1:74" x14ac:dyDescent="0.15">
      <c r="A28" s="19" t="s">
        <v>117</v>
      </c>
      <c r="B28" s="46"/>
      <c r="C28" s="47">
        <v>46409</v>
      </c>
      <c r="D28" s="47">
        <v>47029</v>
      </c>
      <c r="E28" s="48">
        <v>47520</v>
      </c>
      <c r="F28" s="48">
        <v>48027</v>
      </c>
      <c r="G28" s="48">
        <v>48488</v>
      </c>
      <c r="H28" s="48">
        <v>48658</v>
      </c>
      <c r="I28" s="48">
        <v>49785</v>
      </c>
      <c r="J28" s="48">
        <f>+AVERAGE(K28,I28)</f>
        <v>50301.5</v>
      </c>
      <c r="K28" s="48">
        <v>50818</v>
      </c>
      <c r="L28" s="48">
        <v>50818</v>
      </c>
      <c r="M28" s="48">
        <v>51431.5</v>
      </c>
      <c r="N28" s="18">
        <v>52045</v>
      </c>
      <c r="O28" s="18">
        <v>52567</v>
      </c>
      <c r="P28" s="18">
        <v>53165</v>
      </c>
      <c r="Q28" s="18">
        <f>+P28+536</f>
        <v>53701</v>
      </c>
      <c r="R28" s="18">
        <f>+Q28+536</f>
        <v>54237</v>
      </c>
      <c r="S28" s="18">
        <v>54773</v>
      </c>
      <c r="T28" s="18">
        <f>+S28+536</f>
        <v>55309</v>
      </c>
      <c r="U28" s="18">
        <v>56328</v>
      </c>
      <c r="V28" s="18">
        <f t="shared" si="15"/>
        <v>56895.5</v>
      </c>
      <c r="W28" s="18">
        <v>57463</v>
      </c>
      <c r="X28" s="18">
        <v>58064</v>
      </c>
      <c r="Y28" s="18">
        <v>58456</v>
      </c>
      <c r="Z28" s="18">
        <v>59023</v>
      </c>
      <c r="AA28" s="18">
        <v>59212</v>
      </c>
      <c r="AB28" s="18">
        <v>59661</v>
      </c>
      <c r="AC28" s="18">
        <v>59994</v>
      </c>
      <c r="AD28" s="18"/>
      <c r="AE28" s="18"/>
      <c r="AF28" s="18"/>
      <c r="AG28" s="18"/>
      <c r="AH28" s="54"/>
      <c r="AI28" s="54"/>
      <c r="AJ28" s="18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49"/>
      <c r="BO28" s="50">
        <f t="shared" si="0"/>
        <v>145.57142857142858</v>
      </c>
      <c r="BP28" s="50">
        <f t="shared" si="1"/>
        <v>1019</v>
      </c>
      <c r="BQ28" s="51">
        <f t="shared" si="2"/>
        <v>59994</v>
      </c>
      <c r="BT28" s="31"/>
      <c r="BU28" s="31"/>
      <c r="BV28" s="31"/>
    </row>
    <row r="29" spans="1:74" x14ac:dyDescent="0.15">
      <c r="A29" s="19" t="s">
        <v>120</v>
      </c>
      <c r="B29" s="46"/>
      <c r="C29" s="47">
        <v>44637</v>
      </c>
      <c r="D29" s="47">
        <v>45271</v>
      </c>
      <c r="E29" s="48">
        <v>46725</v>
      </c>
      <c r="F29" s="48">
        <v>47674</v>
      </c>
      <c r="G29" s="48">
        <f>+AVERAGE(H29,F29)</f>
        <v>48514.5</v>
      </c>
      <c r="H29" s="48">
        <v>49355</v>
      </c>
      <c r="I29" s="48">
        <v>50694</v>
      </c>
      <c r="J29" s="48">
        <f t="shared" ref="J29:J30" si="16">+AVERAGE(I29,K29)</f>
        <v>51295.5</v>
      </c>
      <c r="K29" s="48">
        <v>51897</v>
      </c>
      <c r="L29" s="48">
        <v>51897</v>
      </c>
      <c r="M29" s="48">
        <v>52497</v>
      </c>
      <c r="N29" s="48">
        <v>53097</v>
      </c>
      <c r="O29" s="18">
        <f>+N29+600</f>
        <v>53697</v>
      </c>
      <c r="P29" s="18">
        <f>+O29+600</f>
        <v>54297</v>
      </c>
      <c r="Q29" s="18">
        <f>+P29+1378.75</f>
        <v>55675.75</v>
      </c>
      <c r="R29" s="18">
        <f t="shared" ref="R29:S29" si="17">+Q29+1378.75</f>
        <v>57054.5</v>
      </c>
      <c r="S29" s="18">
        <f t="shared" si="17"/>
        <v>58433.25</v>
      </c>
      <c r="T29" s="18">
        <v>59812</v>
      </c>
      <c r="U29" s="18">
        <v>60502</v>
      </c>
      <c r="V29" s="18">
        <f t="shared" si="15"/>
        <v>61237.5</v>
      </c>
      <c r="W29" s="18">
        <v>61973</v>
      </c>
      <c r="X29" s="18">
        <v>63458</v>
      </c>
      <c r="Y29" s="18">
        <v>64394</v>
      </c>
      <c r="Z29" s="18">
        <v>65537</v>
      </c>
      <c r="AA29" s="18">
        <v>65919</v>
      </c>
      <c r="AB29" s="18">
        <v>67340</v>
      </c>
      <c r="AC29" s="18">
        <v>68103</v>
      </c>
      <c r="AD29" s="18"/>
      <c r="AE29" s="18"/>
      <c r="AF29" s="18"/>
      <c r="AG29" s="18"/>
      <c r="AH29" s="54"/>
      <c r="AI29" s="54"/>
      <c r="AJ29" s="18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49"/>
      <c r="BO29" s="50">
        <f t="shared" si="0"/>
        <v>212.14285714285714</v>
      </c>
      <c r="BP29" s="50">
        <f t="shared" si="1"/>
        <v>1485</v>
      </c>
      <c r="BQ29" s="51">
        <f t="shared" si="2"/>
        <v>68103</v>
      </c>
      <c r="BS29" s="55"/>
      <c r="BT29" s="31"/>
      <c r="BU29" s="31"/>
      <c r="BV29" s="31"/>
    </row>
    <row r="30" spans="1:74" x14ac:dyDescent="0.15">
      <c r="A30" s="19" t="s">
        <v>123</v>
      </c>
      <c r="B30" s="46"/>
      <c r="C30" s="47">
        <v>1450</v>
      </c>
      <c r="D30" s="47">
        <v>1643</v>
      </c>
      <c r="E30" s="48">
        <v>1947</v>
      </c>
      <c r="F30" s="48">
        <v>2819</v>
      </c>
      <c r="G30" s="48">
        <v>3329</v>
      </c>
      <c r="H30" s="48">
        <f>+G30+510</f>
        <v>3839</v>
      </c>
      <c r="I30" s="48">
        <f>+H30+510</f>
        <v>4349</v>
      </c>
      <c r="J30" s="48">
        <f t="shared" si="16"/>
        <v>5102</v>
      </c>
      <c r="K30" s="48">
        <v>5855</v>
      </c>
      <c r="L30" s="48">
        <v>6413</v>
      </c>
      <c r="M30" s="48">
        <v>6971</v>
      </c>
      <c r="N30" s="18">
        <v>7529</v>
      </c>
      <c r="O30" s="18">
        <v>7758</v>
      </c>
      <c r="P30" s="18">
        <v>8824</v>
      </c>
      <c r="Q30" s="18">
        <f>+P30+319</f>
        <v>9143</v>
      </c>
      <c r="R30" s="18">
        <f>+Q30+319</f>
        <v>9462</v>
      </c>
      <c r="S30" s="18">
        <v>9782</v>
      </c>
      <c r="T30" s="18">
        <v>10539</v>
      </c>
      <c r="U30" s="18">
        <f>+T30+544</f>
        <v>11083</v>
      </c>
      <c r="V30" s="18">
        <f>+U30+544</f>
        <v>11627</v>
      </c>
      <c r="W30" s="18">
        <v>12171</v>
      </c>
      <c r="X30" s="18">
        <f>+W30+544</f>
        <v>12715</v>
      </c>
      <c r="Y30" s="18">
        <v>13453</v>
      </c>
      <c r="Z30" s="18">
        <v>14218</v>
      </c>
      <c r="AA30" s="18">
        <v>14775</v>
      </c>
      <c r="AB30" s="18">
        <v>15900</v>
      </c>
      <c r="AC30" s="18">
        <v>16332</v>
      </c>
      <c r="AD30" s="18"/>
      <c r="AE30" s="18"/>
      <c r="AF30" s="18"/>
      <c r="AG30" s="18"/>
      <c r="AH30" s="54"/>
      <c r="AI30" s="54"/>
      <c r="AJ30" s="18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49"/>
      <c r="BO30" s="50">
        <f t="shared" si="0"/>
        <v>160.71428571428572</v>
      </c>
      <c r="BP30" s="50">
        <f t="shared" si="1"/>
        <v>1125</v>
      </c>
      <c r="BQ30" s="51">
        <f t="shared" si="2"/>
        <v>16332</v>
      </c>
      <c r="BT30" s="31"/>
      <c r="BU30" s="31"/>
      <c r="BV30" s="31"/>
    </row>
    <row r="31" spans="1:74" x14ac:dyDescent="0.15">
      <c r="A31" s="56" t="s">
        <v>131</v>
      </c>
      <c r="B31" s="46"/>
      <c r="C31" s="57"/>
      <c r="D31" s="56"/>
      <c r="E31" s="56"/>
      <c r="F31" s="56"/>
      <c r="G31" s="56"/>
      <c r="H31" s="56"/>
      <c r="I31" s="56"/>
      <c r="J31" s="56"/>
      <c r="K31" s="58"/>
      <c r="L31" s="59"/>
      <c r="M31" s="59"/>
      <c r="N31" s="56"/>
      <c r="O31" s="56"/>
      <c r="P31" s="56"/>
      <c r="Q31" s="56"/>
      <c r="R31" s="56"/>
      <c r="S31" s="56"/>
      <c r="T31" s="60">
        <v>332225</v>
      </c>
      <c r="U31" s="18">
        <f>+AVERAGE(V31,T31)</f>
        <v>332287.5</v>
      </c>
      <c r="V31" s="60">
        <v>332350</v>
      </c>
      <c r="W31" s="61"/>
      <c r="AJ31" s="61"/>
      <c r="AX31" s="61"/>
      <c r="AY31" s="61"/>
      <c r="AZ31" s="61"/>
      <c r="BA31" s="61"/>
      <c r="BB31" s="61"/>
      <c r="BC31" s="61"/>
      <c r="BD31" s="61"/>
      <c r="BO31" s="46"/>
      <c r="BP31" s="46"/>
      <c r="BQ31" s="61"/>
      <c r="BT31" s="31"/>
      <c r="BU31" s="31"/>
      <c r="BV31" s="31"/>
    </row>
    <row r="32" spans="1:74" ht="14" thickBot="1" x14ac:dyDescent="0.2">
      <c r="B32" s="46"/>
      <c r="C32" s="62">
        <v>2025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AJ32" s="61"/>
      <c r="AX32" s="61"/>
      <c r="AY32" s="61"/>
      <c r="AZ32" s="61"/>
      <c r="BA32" s="61"/>
      <c r="BB32" s="61"/>
      <c r="BC32" s="61"/>
      <c r="BD32" s="61"/>
      <c r="BO32" s="46"/>
      <c r="BP32" s="46"/>
      <c r="BQ32" s="61"/>
      <c r="BT32" s="31"/>
      <c r="BU32" s="31"/>
      <c r="BV32" s="31"/>
    </row>
    <row r="33" spans="1:74" ht="14" customHeight="1" thickBot="1" x14ac:dyDescent="0.2">
      <c r="A33" s="63" t="s">
        <v>132</v>
      </c>
      <c r="B33" s="63"/>
      <c r="C33" s="64">
        <v>45950</v>
      </c>
      <c r="D33" s="64">
        <v>45957</v>
      </c>
      <c r="E33" s="64">
        <v>45964</v>
      </c>
      <c r="F33" s="64">
        <v>45971</v>
      </c>
      <c r="G33" s="64">
        <v>45978</v>
      </c>
      <c r="H33" s="64">
        <v>45985</v>
      </c>
      <c r="I33" s="64">
        <v>45992</v>
      </c>
      <c r="J33" s="64">
        <v>45999</v>
      </c>
      <c r="K33" s="64">
        <v>46006</v>
      </c>
      <c r="L33" s="64">
        <v>46013</v>
      </c>
      <c r="M33" s="64">
        <v>46020</v>
      </c>
      <c r="N33" s="64">
        <v>46027</v>
      </c>
      <c r="O33" s="64">
        <v>46034</v>
      </c>
      <c r="P33" s="64">
        <v>46041</v>
      </c>
      <c r="Q33" s="64">
        <v>46048</v>
      </c>
      <c r="R33" s="64">
        <v>46055</v>
      </c>
      <c r="S33" s="64">
        <v>46062</v>
      </c>
      <c r="T33" s="64">
        <v>46069</v>
      </c>
      <c r="U33" s="64">
        <v>46076</v>
      </c>
      <c r="V33" s="64">
        <v>46083</v>
      </c>
      <c r="W33" s="64">
        <v>46090</v>
      </c>
      <c r="X33" s="64">
        <v>46097</v>
      </c>
      <c r="Y33" s="64">
        <v>46104</v>
      </c>
      <c r="Z33" s="64">
        <v>46111</v>
      </c>
      <c r="AA33" s="64">
        <v>46118</v>
      </c>
      <c r="AB33" s="64">
        <v>46125</v>
      </c>
      <c r="AC33" s="64">
        <v>46132</v>
      </c>
      <c r="AD33" s="64">
        <v>46139</v>
      </c>
      <c r="AE33" s="64">
        <v>46146</v>
      </c>
      <c r="AF33" s="64">
        <v>46153</v>
      </c>
      <c r="AG33" s="64">
        <v>46160</v>
      </c>
      <c r="AH33" s="64">
        <v>46167</v>
      </c>
      <c r="AI33" s="64">
        <v>46174</v>
      </c>
      <c r="AJ33" s="64">
        <v>46181</v>
      </c>
      <c r="AK33" s="64">
        <v>46188</v>
      </c>
      <c r="AL33" s="64">
        <v>46195</v>
      </c>
      <c r="AM33" s="64">
        <v>46202</v>
      </c>
      <c r="AN33" s="64">
        <v>46209</v>
      </c>
      <c r="AO33" s="64">
        <v>46216</v>
      </c>
      <c r="AP33" s="64">
        <v>46223</v>
      </c>
      <c r="AQ33" s="64">
        <v>46230</v>
      </c>
      <c r="AR33" s="64">
        <v>46237</v>
      </c>
      <c r="AS33" s="64">
        <v>46244</v>
      </c>
      <c r="AT33" s="64">
        <v>46251</v>
      </c>
      <c r="AU33" s="64">
        <v>46258</v>
      </c>
      <c r="AV33" s="64">
        <v>46265</v>
      </c>
      <c r="AW33" s="64">
        <v>46272</v>
      </c>
      <c r="AX33" s="64">
        <v>46279</v>
      </c>
      <c r="AY33" s="64">
        <v>46286</v>
      </c>
      <c r="AZ33" s="64">
        <v>46293</v>
      </c>
      <c r="BA33" s="64">
        <v>46300</v>
      </c>
      <c r="BB33" s="64">
        <v>46307</v>
      </c>
      <c r="BC33" s="64">
        <v>46314</v>
      </c>
      <c r="BD33" s="64">
        <v>46321</v>
      </c>
      <c r="BE33" s="64">
        <v>46328</v>
      </c>
      <c r="BF33" s="64">
        <v>46335</v>
      </c>
      <c r="BG33" s="64">
        <v>46342</v>
      </c>
      <c r="BH33" s="64">
        <v>46349</v>
      </c>
      <c r="BI33" s="64">
        <v>46356</v>
      </c>
      <c r="BJ33" s="64">
        <v>46363</v>
      </c>
      <c r="BK33" s="64">
        <v>46370</v>
      </c>
      <c r="BL33" s="64">
        <v>46377</v>
      </c>
      <c r="BM33" s="64">
        <v>46384</v>
      </c>
      <c r="BO33" s="65" t="s">
        <v>133</v>
      </c>
      <c r="BP33" s="66"/>
      <c r="BQ33" s="67"/>
      <c r="BT33" s="31"/>
      <c r="BU33" s="31"/>
      <c r="BV33" s="31"/>
    </row>
    <row r="34" spans="1:74" ht="16" customHeight="1" x14ac:dyDescent="0.15">
      <c r="A34" s="63"/>
      <c r="B34" s="63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O34" s="68"/>
      <c r="BP34" s="69"/>
      <c r="BQ34" s="70"/>
      <c r="BS34" s="71" t="s">
        <v>134</v>
      </c>
      <c r="BT34" s="31"/>
      <c r="BU34" s="31"/>
      <c r="BV34" s="31"/>
    </row>
    <row r="35" spans="1:74" x14ac:dyDescent="0.15">
      <c r="A35" s="18" t="s">
        <v>26</v>
      </c>
      <c r="B35" s="72"/>
      <c r="C35" s="73"/>
      <c r="D35" s="48">
        <f>IF(D8-C8&gt;0,D8-C8,"")</f>
        <v>188</v>
      </c>
      <c r="E35" s="48">
        <f t="shared" ref="E35:I50" si="18">IF(E8-D8&gt;0,E8-D8,"")</f>
        <v>113</v>
      </c>
      <c r="F35" s="48">
        <f t="shared" si="18"/>
        <v>140</v>
      </c>
      <c r="G35" s="48">
        <f t="shared" si="18"/>
        <v>154</v>
      </c>
      <c r="H35" s="48">
        <f>IF(H8-G8&gt;0,H8-G8,"")</f>
        <v>63</v>
      </c>
      <c r="I35" s="48">
        <f>IF(I8-H8&gt;0,I8-H8,"")</f>
        <v>137</v>
      </c>
      <c r="J35" s="48">
        <f t="shared" ref="J35:M50" si="19">IF(J8-I8&gt;0,J8-I8,"")</f>
        <v>97</v>
      </c>
      <c r="K35" s="48">
        <f t="shared" si="19"/>
        <v>189</v>
      </c>
      <c r="L35" s="48">
        <f t="shared" si="19"/>
        <v>44</v>
      </c>
      <c r="M35" s="48">
        <f t="shared" si="19"/>
        <v>44</v>
      </c>
      <c r="N35" s="54">
        <f t="shared" ref="N35:BC43" si="20">IF(O8-N8&gt;0,O8-N8,"")</f>
        <v>1</v>
      </c>
      <c r="O35" s="54">
        <f t="shared" si="20"/>
        <v>6</v>
      </c>
      <c r="P35" s="54" t="str">
        <f t="shared" si="20"/>
        <v/>
      </c>
      <c r="Q35" s="54" t="str">
        <f t="shared" si="20"/>
        <v/>
      </c>
      <c r="R35" s="54">
        <f t="shared" si="20"/>
        <v>90.5</v>
      </c>
      <c r="S35" s="54">
        <f t="shared" si="20"/>
        <v>90.5</v>
      </c>
      <c r="T35" s="18">
        <f t="shared" si="20"/>
        <v>251</v>
      </c>
      <c r="U35" s="18">
        <f t="shared" si="20"/>
        <v>160</v>
      </c>
      <c r="V35" s="18">
        <f t="shared" si="20"/>
        <v>181</v>
      </c>
      <c r="W35" s="18">
        <f t="shared" si="20"/>
        <v>181</v>
      </c>
      <c r="X35" s="18">
        <f t="shared" si="20"/>
        <v>141</v>
      </c>
      <c r="Y35" s="18">
        <f t="shared" si="20"/>
        <v>159</v>
      </c>
      <c r="Z35" s="18">
        <f t="shared" si="20"/>
        <v>143</v>
      </c>
      <c r="AA35" s="18">
        <f t="shared" si="20"/>
        <v>216</v>
      </c>
      <c r="AB35" s="18">
        <f t="shared" si="20"/>
        <v>195</v>
      </c>
      <c r="AC35" s="18" t="str">
        <f t="shared" si="20"/>
        <v/>
      </c>
      <c r="AD35" s="18" t="str">
        <f t="shared" si="20"/>
        <v/>
      </c>
      <c r="AE35" s="18" t="str">
        <f t="shared" si="20"/>
        <v/>
      </c>
      <c r="AF35" s="18" t="str">
        <f t="shared" si="20"/>
        <v/>
      </c>
      <c r="AG35" s="18" t="str">
        <f t="shared" si="20"/>
        <v/>
      </c>
      <c r="AH35" s="18" t="str">
        <f t="shared" si="20"/>
        <v/>
      </c>
      <c r="AI35" s="18" t="str">
        <f t="shared" si="20"/>
        <v/>
      </c>
      <c r="AJ35" s="18" t="str">
        <f t="shared" si="20"/>
        <v/>
      </c>
      <c r="AK35" s="18" t="str">
        <f t="shared" si="20"/>
        <v/>
      </c>
      <c r="AL35" s="18" t="str">
        <f t="shared" si="20"/>
        <v/>
      </c>
      <c r="AM35" s="18" t="str">
        <f t="shared" si="20"/>
        <v/>
      </c>
      <c r="AN35" s="18" t="str">
        <f t="shared" si="20"/>
        <v/>
      </c>
      <c r="AO35" s="18" t="str">
        <f t="shared" si="20"/>
        <v/>
      </c>
      <c r="AP35" s="18" t="str">
        <f t="shared" si="20"/>
        <v/>
      </c>
      <c r="AQ35" s="18" t="str">
        <f t="shared" si="20"/>
        <v/>
      </c>
      <c r="AR35" s="18" t="str">
        <f t="shared" si="20"/>
        <v/>
      </c>
      <c r="AS35" s="18" t="str">
        <f t="shared" si="20"/>
        <v/>
      </c>
      <c r="AT35" s="18" t="str">
        <f t="shared" si="20"/>
        <v/>
      </c>
      <c r="AU35" s="18" t="str">
        <f t="shared" si="20"/>
        <v/>
      </c>
      <c r="AV35" s="18" t="str">
        <f t="shared" si="20"/>
        <v/>
      </c>
      <c r="AW35" s="18" t="str">
        <f t="shared" si="20"/>
        <v/>
      </c>
      <c r="AX35" s="18" t="str">
        <f t="shared" si="20"/>
        <v/>
      </c>
      <c r="AY35" s="18" t="str">
        <f t="shared" si="20"/>
        <v/>
      </c>
      <c r="AZ35" s="18" t="str">
        <f t="shared" si="20"/>
        <v/>
      </c>
      <c r="BA35" s="18" t="str">
        <f t="shared" si="20"/>
        <v/>
      </c>
      <c r="BB35" s="18" t="str">
        <f t="shared" si="20"/>
        <v/>
      </c>
      <c r="BC35" s="18" t="str">
        <f t="shared" si="20"/>
        <v/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49"/>
      <c r="BO35" s="74">
        <f>MAX(N35:BM35)</f>
        <v>251</v>
      </c>
      <c r="BP35" s="75"/>
      <c r="BQ35" s="76"/>
      <c r="BS35" s="51">
        <f t="shared" ref="BS35:BS57" si="21">+BO35</f>
        <v>251</v>
      </c>
      <c r="BT35" s="31"/>
      <c r="BU35" s="31"/>
      <c r="BV35" s="31"/>
    </row>
    <row r="36" spans="1:74" x14ac:dyDescent="0.15">
      <c r="A36" s="19" t="s">
        <v>36</v>
      </c>
      <c r="B36" s="72"/>
      <c r="C36" s="73"/>
      <c r="D36" s="48">
        <f t="shared" ref="D36:M51" si="22">IF(D9-C9&gt;0,D9-C9,"")</f>
        <v>168</v>
      </c>
      <c r="E36" s="48">
        <f t="shared" si="22"/>
        <v>149</v>
      </c>
      <c r="F36" s="48">
        <f t="shared" si="22"/>
        <v>212</v>
      </c>
      <c r="G36" s="48">
        <f t="shared" si="18"/>
        <v>181</v>
      </c>
      <c r="H36" s="48">
        <f t="shared" si="18"/>
        <v>59</v>
      </c>
      <c r="I36" s="48">
        <f t="shared" si="18"/>
        <v>59</v>
      </c>
      <c r="J36" s="48">
        <f t="shared" si="19"/>
        <v>338.5</v>
      </c>
      <c r="K36" s="48">
        <f t="shared" si="19"/>
        <v>338.5</v>
      </c>
      <c r="L36" s="48">
        <f t="shared" si="19"/>
        <v>60.5</v>
      </c>
      <c r="M36" s="48">
        <f t="shared" si="19"/>
        <v>60.5</v>
      </c>
      <c r="N36" s="54">
        <f t="shared" si="20"/>
        <v>100</v>
      </c>
      <c r="O36" s="54">
        <f t="shared" si="20"/>
        <v>107</v>
      </c>
      <c r="P36" s="54">
        <f t="shared" si="20"/>
        <v>118</v>
      </c>
      <c r="Q36" s="54">
        <f t="shared" si="20"/>
        <v>118</v>
      </c>
      <c r="R36" s="54">
        <f t="shared" si="20"/>
        <v>117</v>
      </c>
      <c r="S36" s="54">
        <f t="shared" si="20"/>
        <v>188</v>
      </c>
      <c r="T36" s="18">
        <f t="shared" si="20"/>
        <v>129</v>
      </c>
      <c r="U36" s="18">
        <f t="shared" si="20"/>
        <v>117</v>
      </c>
      <c r="V36" s="18">
        <f t="shared" si="20"/>
        <v>199</v>
      </c>
      <c r="W36" s="18">
        <f t="shared" si="20"/>
        <v>315</v>
      </c>
      <c r="X36" s="18">
        <f t="shared" si="20"/>
        <v>229</v>
      </c>
      <c r="Y36" s="18">
        <f t="shared" si="20"/>
        <v>149</v>
      </c>
      <c r="Z36" s="18">
        <f t="shared" si="20"/>
        <v>82</v>
      </c>
      <c r="AA36" s="18">
        <f t="shared" si="20"/>
        <v>151</v>
      </c>
      <c r="AB36" s="18">
        <f t="shared" si="20"/>
        <v>127</v>
      </c>
      <c r="AC36" s="18" t="str">
        <f t="shared" si="20"/>
        <v/>
      </c>
      <c r="AD36" s="18" t="str">
        <f t="shared" si="20"/>
        <v/>
      </c>
      <c r="AE36" s="18" t="str">
        <f t="shared" si="20"/>
        <v/>
      </c>
      <c r="AF36" s="18" t="str">
        <f t="shared" si="20"/>
        <v/>
      </c>
      <c r="AG36" s="18" t="str">
        <f t="shared" si="20"/>
        <v/>
      </c>
      <c r="AH36" s="18" t="str">
        <f t="shared" si="20"/>
        <v/>
      </c>
      <c r="AI36" s="18" t="str">
        <f t="shared" si="20"/>
        <v/>
      </c>
      <c r="AJ36" s="18" t="str">
        <f t="shared" si="20"/>
        <v/>
      </c>
      <c r="AK36" s="18" t="str">
        <f t="shared" si="20"/>
        <v/>
      </c>
      <c r="AL36" s="18" t="str">
        <f t="shared" si="20"/>
        <v/>
      </c>
      <c r="AM36" s="18" t="str">
        <f t="shared" si="20"/>
        <v/>
      </c>
      <c r="AN36" s="18" t="str">
        <f t="shared" si="20"/>
        <v/>
      </c>
      <c r="AO36" s="18" t="str">
        <f t="shared" si="20"/>
        <v/>
      </c>
      <c r="AP36" s="18" t="str">
        <f t="shared" si="20"/>
        <v/>
      </c>
      <c r="AQ36" s="18" t="str">
        <f t="shared" ref="AQ36:BC51" si="23">IF(AR10-AQ10&gt;0,AR10-AQ10,"")</f>
        <v/>
      </c>
      <c r="AR36" s="18" t="str">
        <f t="shared" si="23"/>
        <v/>
      </c>
      <c r="AS36" s="18" t="str">
        <f t="shared" si="23"/>
        <v/>
      </c>
      <c r="AT36" s="18" t="str">
        <f t="shared" si="23"/>
        <v/>
      </c>
      <c r="AU36" s="18" t="str">
        <f t="shared" si="23"/>
        <v/>
      </c>
      <c r="AV36" s="18" t="str">
        <f t="shared" si="23"/>
        <v/>
      </c>
      <c r="AW36" s="18" t="str">
        <f t="shared" si="23"/>
        <v/>
      </c>
      <c r="AX36" s="18" t="str">
        <f t="shared" si="23"/>
        <v/>
      </c>
      <c r="AY36" s="18" t="str">
        <f t="shared" si="23"/>
        <v/>
      </c>
      <c r="AZ36" s="18" t="str">
        <f t="shared" si="23"/>
        <v/>
      </c>
      <c r="BA36" s="18" t="str">
        <f t="shared" si="23"/>
        <v/>
      </c>
      <c r="BB36" s="18" t="str">
        <f t="shared" si="23"/>
        <v/>
      </c>
      <c r="BC36" s="18" t="str">
        <f t="shared" si="23"/>
        <v/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49"/>
      <c r="BO36" s="74">
        <f t="shared" ref="BO36:BO57" si="24">MAX(N36:BM36)</f>
        <v>315</v>
      </c>
      <c r="BP36" s="75"/>
      <c r="BQ36" s="76"/>
      <c r="BS36" s="51">
        <f t="shared" si="21"/>
        <v>315</v>
      </c>
      <c r="BT36" s="31"/>
      <c r="BU36" s="31"/>
      <c r="BV36" s="31"/>
    </row>
    <row r="37" spans="1:74" x14ac:dyDescent="0.15">
      <c r="A37" s="19" t="s">
        <v>42</v>
      </c>
      <c r="B37" s="72"/>
      <c r="C37" s="73"/>
      <c r="D37" s="48">
        <f t="shared" si="22"/>
        <v>105</v>
      </c>
      <c r="E37" s="48">
        <f t="shared" si="22"/>
        <v>77</v>
      </c>
      <c r="F37" s="48">
        <f t="shared" si="22"/>
        <v>77</v>
      </c>
      <c r="G37" s="48">
        <f t="shared" si="18"/>
        <v>77</v>
      </c>
      <c r="H37" s="48">
        <f t="shared" si="18"/>
        <v>77</v>
      </c>
      <c r="I37" s="48">
        <f t="shared" si="18"/>
        <v>77</v>
      </c>
      <c r="J37" s="48">
        <f t="shared" si="19"/>
        <v>77</v>
      </c>
      <c r="K37" s="48">
        <f t="shared" si="19"/>
        <v>77</v>
      </c>
      <c r="L37" s="48">
        <f t="shared" si="19"/>
        <v>76</v>
      </c>
      <c r="M37" s="48">
        <f t="shared" si="19"/>
        <v>76</v>
      </c>
      <c r="N37" s="54">
        <f t="shared" si="20"/>
        <v>59</v>
      </c>
      <c r="O37" s="54">
        <f t="shared" si="20"/>
        <v>59</v>
      </c>
      <c r="P37" s="54">
        <f t="shared" si="20"/>
        <v>59</v>
      </c>
      <c r="Q37" s="54">
        <f t="shared" si="20"/>
        <v>59</v>
      </c>
      <c r="R37" s="54">
        <f t="shared" si="20"/>
        <v>59</v>
      </c>
      <c r="S37" s="54">
        <f t="shared" si="20"/>
        <v>59</v>
      </c>
      <c r="T37" s="18">
        <f t="shared" si="20"/>
        <v>59</v>
      </c>
      <c r="U37" s="18">
        <f t="shared" si="20"/>
        <v>59</v>
      </c>
      <c r="V37" s="18">
        <f t="shared" si="20"/>
        <v>59</v>
      </c>
      <c r="W37" s="18">
        <f t="shared" si="20"/>
        <v>59</v>
      </c>
      <c r="X37" s="18">
        <f t="shared" si="20"/>
        <v>70</v>
      </c>
      <c r="Y37" s="18">
        <f t="shared" si="20"/>
        <v>105</v>
      </c>
      <c r="Z37" s="18">
        <f t="shared" si="20"/>
        <v>105</v>
      </c>
      <c r="AA37" s="18">
        <f t="shared" si="20"/>
        <v>105</v>
      </c>
      <c r="AB37" s="18">
        <f t="shared" si="20"/>
        <v>105</v>
      </c>
      <c r="AC37" s="18" t="str">
        <f t="shared" si="20"/>
        <v/>
      </c>
      <c r="AD37" s="18" t="str">
        <f t="shared" si="20"/>
        <v/>
      </c>
      <c r="AE37" s="18" t="str">
        <f t="shared" si="20"/>
        <v/>
      </c>
      <c r="AF37" s="18" t="str">
        <f t="shared" si="20"/>
        <v/>
      </c>
      <c r="AG37" s="18" t="str">
        <f t="shared" si="20"/>
        <v/>
      </c>
      <c r="AH37" s="18" t="str">
        <f t="shared" si="20"/>
        <v/>
      </c>
      <c r="AI37" s="18" t="str">
        <f t="shared" si="20"/>
        <v/>
      </c>
      <c r="AJ37" s="18" t="str">
        <f t="shared" si="20"/>
        <v/>
      </c>
      <c r="AK37" s="18" t="str">
        <f t="shared" si="20"/>
        <v/>
      </c>
      <c r="AL37" s="18" t="str">
        <f t="shared" si="20"/>
        <v/>
      </c>
      <c r="AM37" s="18" t="str">
        <f t="shared" si="20"/>
        <v/>
      </c>
      <c r="AN37" s="18" t="str">
        <f t="shared" si="20"/>
        <v/>
      </c>
      <c r="AO37" s="18" t="str">
        <f t="shared" si="20"/>
        <v/>
      </c>
      <c r="AP37" s="18" t="str">
        <f t="shared" si="20"/>
        <v/>
      </c>
      <c r="AQ37" s="18" t="str">
        <f t="shared" si="23"/>
        <v/>
      </c>
      <c r="AR37" s="18" t="str">
        <f t="shared" si="23"/>
        <v/>
      </c>
      <c r="AS37" s="18" t="str">
        <f t="shared" si="23"/>
        <v/>
      </c>
      <c r="AT37" s="18" t="str">
        <f t="shared" si="23"/>
        <v/>
      </c>
      <c r="AU37" s="18" t="str">
        <f t="shared" si="23"/>
        <v/>
      </c>
      <c r="AV37" s="18" t="str">
        <f t="shared" si="23"/>
        <v/>
      </c>
      <c r="AW37" s="18" t="str">
        <f t="shared" si="23"/>
        <v/>
      </c>
      <c r="AX37" s="18" t="str">
        <f t="shared" si="23"/>
        <v/>
      </c>
      <c r="AY37" s="18" t="str">
        <f t="shared" si="23"/>
        <v/>
      </c>
      <c r="AZ37" s="18" t="str">
        <f t="shared" si="23"/>
        <v/>
      </c>
      <c r="BA37" s="18" t="str">
        <f t="shared" si="23"/>
        <v/>
      </c>
      <c r="BB37" s="18" t="str">
        <f t="shared" si="23"/>
        <v/>
      </c>
      <c r="BC37" s="18" t="str">
        <f t="shared" si="23"/>
        <v/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49"/>
      <c r="BO37" s="74">
        <f t="shared" si="24"/>
        <v>105</v>
      </c>
      <c r="BP37" s="75"/>
      <c r="BQ37" s="76"/>
      <c r="BS37" s="51">
        <f t="shared" si="21"/>
        <v>105</v>
      </c>
      <c r="BT37" s="31"/>
      <c r="BU37" s="31"/>
      <c r="BV37" s="31"/>
    </row>
    <row r="38" spans="1:74" x14ac:dyDescent="0.15">
      <c r="A38" s="19" t="s">
        <v>48</v>
      </c>
      <c r="B38" s="72"/>
      <c r="C38" s="73"/>
      <c r="D38" s="48">
        <f t="shared" si="22"/>
        <v>491.5</v>
      </c>
      <c r="E38" s="48">
        <f t="shared" si="22"/>
        <v>296</v>
      </c>
      <c r="F38" s="48">
        <f t="shared" si="22"/>
        <v>756</v>
      </c>
      <c r="G38" s="48">
        <f t="shared" si="18"/>
        <v>493</v>
      </c>
      <c r="H38" s="48">
        <f t="shared" si="18"/>
        <v>484</v>
      </c>
      <c r="I38" s="48">
        <f t="shared" si="18"/>
        <v>488</v>
      </c>
      <c r="J38" s="48">
        <f t="shared" si="19"/>
        <v>432</v>
      </c>
      <c r="K38" s="48">
        <f t="shared" si="19"/>
        <v>432</v>
      </c>
      <c r="L38" s="48">
        <f t="shared" si="19"/>
        <v>355.5</v>
      </c>
      <c r="M38" s="48">
        <f t="shared" si="19"/>
        <v>355.5</v>
      </c>
      <c r="N38" s="54">
        <f t="shared" si="20"/>
        <v>463</v>
      </c>
      <c r="O38" s="54">
        <f t="shared" si="20"/>
        <v>712</v>
      </c>
      <c r="P38" s="54">
        <f t="shared" si="20"/>
        <v>302</v>
      </c>
      <c r="Q38" s="54">
        <f t="shared" si="20"/>
        <v>302</v>
      </c>
      <c r="R38" s="54">
        <f t="shared" si="20"/>
        <v>301</v>
      </c>
      <c r="S38" s="54">
        <f t="shared" si="20"/>
        <v>770</v>
      </c>
      <c r="T38" s="18">
        <f t="shared" si="20"/>
        <v>420</v>
      </c>
      <c r="U38" s="18">
        <f t="shared" si="20"/>
        <v>420</v>
      </c>
      <c r="V38" s="18">
        <f t="shared" si="20"/>
        <v>580</v>
      </c>
      <c r="W38" s="18">
        <f t="shared" si="20"/>
        <v>615</v>
      </c>
      <c r="X38" s="18">
        <f t="shared" si="20"/>
        <v>506</v>
      </c>
      <c r="Y38" s="18">
        <f t="shared" si="20"/>
        <v>449</v>
      </c>
      <c r="Z38" s="18">
        <f t="shared" si="20"/>
        <v>587</v>
      </c>
      <c r="AA38" s="18">
        <f t="shared" si="20"/>
        <v>518</v>
      </c>
      <c r="AB38" s="18">
        <f t="shared" si="20"/>
        <v>469</v>
      </c>
      <c r="AC38" s="18" t="str">
        <f t="shared" si="20"/>
        <v/>
      </c>
      <c r="AD38" s="18" t="str">
        <f t="shared" si="20"/>
        <v/>
      </c>
      <c r="AE38" s="18" t="str">
        <f t="shared" si="20"/>
        <v/>
      </c>
      <c r="AF38" s="18" t="str">
        <f t="shared" si="20"/>
        <v/>
      </c>
      <c r="AG38" s="18" t="str">
        <f t="shared" si="20"/>
        <v/>
      </c>
      <c r="AH38" s="18" t="str">
        <f t="shared" si="20"/>
        <v/>
      </c>
      <c r="AI38" s="18" t="str">
        <f t="shared" si="20"/>
        <v/>
      </c>
      <c r="AJ38" s="18" t="str">
        <f t="shared" si="20"/>
        <v/>
      </c>
      <c r="AK38" s="18" t="str">
        <f t="shared" si="20"/>
        <v/>
      </c>
      <c r="AL38" s="18" t="str">
        <f t="shared" si="20"/>
        <v/>
      </c>
      <c r="AM38" s="18" t="str">
        <f t="shared" si="20"/>
        <v/>
      </c>
      <c r="AN38" s="18" t="str">
        <f t="shared" si="20"/>
        <v/>
      </c>
      <c r="AO38" s="18" t="str">
        <f t="shared" si="20"/>
        <v/>
      </c>
      <c r="AP38" s="18" t="str">
        <f t="shared" si="20"/>
        <v/>
      </c>
      <c r="AQ38" s="18" t="str">
        <f t="shared" si="23"/>
        <v/>
      </c>
      <c r="AR38" s="18" t="str">
        <f t="shared" si="23"/>
        <v/>
      </c>
      <c r="AS38" s="18" t="str">
        <f t="shared" si="23"/>
        <v/>
      </c>
      <c r="AT38" s="18" t="str">
        <f t="shared" si="23"/>
        <v/>
      </c>
      <c r="AU38" s="18" t="str">
        <f t="shared" si="23"/>
        <v/>
      </c>
      <c r="AV38" s="18" t="str">
        <f t="shared" si="23"/>
        <v/>
      </c>
      <c r="AW38" s="18" t="str">
        <f t="shared" si="23"/>
        <v/>
      </c>
      <c r="AX38" s="18" t="str">
        <f t="shared" si="23"/>
        <v/>
      </c>
      <c r="AY38" s="18" t="str">
        <f t="shared" si="23"/>
        <v/>
      </c>
      <c r="AZ38" s="18" t="str">
        <f t="shared" si="23"/>
        <v/>
      </c>
      <c r="BA38" s="18" t="str">
        <f t="shared" si="23"/>
        <v/>
      </c>
      <c r="BB38" s="18" t="str">
        <f t="shared" si="23"/>
        <v/>
      </c>
      <c r="BC38" s="18" t="str">
        <f t="shared" si="23"/>
        <v/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49"/>
      <c r="BO38" s="74">
        <f t="shared" si="24"/>
        <v>770</v>
      </c>
      <c r="BP38" s="75"/>
      <c r="BQ38" s="76"/>
      <c r="BS38" s="51">
        <f t="shared" si="21"/>
        <v>770</v>
      </c>
      <c r="BT38" s="31"/>
      <c r="BU38" s="31"/>
      <c r="BV38" s="31"/>
    </row>
    <row r="39" spans="1:74" x14ac:dyDescent="0.15">
      <c r="A39" s="19" t="s">
        <v>55</v>
      </c>
      <c r="B39" s="72"/>
      <c r="C39" s="73"/>
      <c r="D39" s="48">
        <f t="shared" si="22"/>
        <v>667</v>
      </c>
      <c r="E39" s="48">
        <f t="shared" si="22"/>
        <v>1013</v>
      </c>
      <c r="F39" s="48">
        <f t="shared" si="22"/>
        <v>932</v>
      </c>
      <c r="G39" s="48">
        <f t="shared" si="18"/>
        <v>509</v>
      </c>
      <c r="H39" s="48">
        <f t="shared" si="18"/>
        <v>509</v>
      </c>
      <c r="I39" s="48">
        <f t="shared" si="18"/>
        <v>793</v>
      </c>
      <c r="J39" s="48">
        <f t="shared" si="19"/>
        <v>19</v>
      </c>
      <c r="K39" s="48">
        <f t="shared" si="19"/>
        <v>1559</v>
      </c>
      <c r="L39" s="48">
        <f t="shared" si="19"/>
        <v>768.5</v>
      </c>
      <c r="M39" s="48">
        <f t="shared" si="19"/>
        <v>768.5</v>
      </c>
      <c r="N39" s="54">
        <f t="shared" si="20"/>
        <v>583</v>
      </c>
      <c r="O39" s="54">
        <f t="shared" si="20"/>
        <v>583</v>
      </c>
      <c r="P39" s="54">
        <f t="shared" si="20"/>
        <v>1019</v>
      </c>
      <c r="Q39" s="54">
        <f t="shared" si="20"/>
        <v>1019</v>
      </c>
      <c r="R39" s="54">
        <f t="shared" si="20"/>
        <v>1018</v>
      </c>
      <c r="S39" s="54">
        <f t="shared" si="20"/>
        <v>896</v>
      </c>
      <c r="T39" s="18">
        <f t="shared" si="20"/>
        <v>732</v>
      </c>
      <c r="U39" s="18">
        <f t="shared" si="20"/>
        <v>1269</v>
      </c>
      <c r="V39" s="18">
        <f t="shared" si="20"/>
        <v>727</v>
      </c>
      <c r="W39" s="18">
        <f t="shared" si="20"/>
        <v>1002</v>
      </c>
      <c r="X39" s="18">
        <f t="shared" si="20"/>
        <v>587</v>
      </c>
      <c r="Y39" s="18">
        <f t="shared" si="20"/>
        <v>679</v>
      </c>
      <c r="Z39" s="18">
        <f t="shared" si="20"/>
        <v>916</v>
      </c>
      <c r="AA39" s="18">
        <f t="shared" si="20"/>
        <v>826</v>
      </c>
      <c r="AB39" s="18">
        <f t="shared" si="20"/>
        <v>712</v>
      </c>
      <c r="AC39" s="18" t="str">
        <f t="shared" si="20"/>
        <v/>
      </c>
      <c r="AD39" s="18" t="str">
        <f t="shared" si="20"/>
        <v/>
      </c>
      <c r="AE39" s="18" t="str">
        <f t="shared" si="20"/>
        <v/>
      </c>
      <c r="AF39" s="18" t="str">
        <f t="shared" si="20"/>
        <v/>
      </c>
      <c r="AG39" s="18" t="str">
        <f t="shared" si="20"/>
        <v/>
      </c>
      <c r="AH39" s="18" t="str">
        <f t="shared" si="20"/>
        <v/>
      </c>
      <c r="AI39" s="18" t="str">
        <f t="shared" si="20"/>
        <v/>
      </c>
      <c r="AJ39" s="18" t="str">
        <f t="shared" si="20"/>
        <v/>
      </c>
      <c r="AK39" s="18" t="str">
        <f t="shared" si="20"/>
        <v/>
      </c>
      <c r="AL39" s="18" t="str">
        <f t="shared" si="20"/>
        <v/>
      </c>
      <c r="AM39" s="18" t="str">
        <f t="shared" si="20"/>
        <v/>
      </c>
      <c r="AN39" s="18" t="str">
        <f t="shared" si="20"/>
        <v/>
      </c>
      <c r="AO39" s="18" t="str">
        <f t="shared" si="20"/>
        <v/>
      </c>
      <c r="AP39" s="18" t="str">
        <f t="shared" si="20"/>
        <v/>
      </c>
      <c r="AQ39" s="18" t="str">
        <f t="shared" si="23"/>
        <v/>
      </c>
      <c r="AR39" s="18" t="str">
        <f t="shared" si="23"/>
        <v/>
      </c>
      <c r="AS39" s="18" t="str">
        <f t="shared" si="23"/>
        <v/>
      </c>
      <c r="AT39" s="18" t="str">
        <f t="shared" si="23"/>
        <v/>
      </c>
      <c r="AU39" s="18" t="str">
        <f t="shared" si="23"/>
        <v/>
      </c>
      <c r="AV39" s="18" t="str">
        <f t="shared" si="23"/>
        <v/>
      </c>
      <c r="AW39" s="18" t="str">
        <f t="shared" si="23"/>
        <v/>
      </c>
      <c r="AX39" s="18" t="str">
        <f t="shared" si="23"/>
        <v/>
      </c>
      <c r="AY39" s="18" t="str">
        <f t="shared" si="23"/>
        <v/>
      </c>
      <c r="AZ39" s="18" t="str">
        <f t="shared" si="23"/>
        <v/>
      </c>
      <c r="BA39" s="18" t="str">
        <f t="shared" si="23"/>
        <v/>
      </c>
      <c r="BB39" s="18" t="str">
        <f t="shared" si="23"/>
        <v/>
      </c>
      <c r="BC39" s="18" t="str">
        <f t="shared" si="23"/>
        <v/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49"/>
      <c r="BO39" s="74">
        <f t="shared" si="24"/>
        <v>1269</v>
      </c>
      <c r="BP39" s="75"/>
      <c r="BQ39" s="76"/>
      <c r="BS39" s="51">
        <f t="shared" si="21"/>
        <v>1269</v>
      </c>
      <c r="BT39" s="31"/>
      <c r="BU39" s="31"/>
      <c r="BV39" s="31"/>
    </row>
    <row r="40" spans="1:74" x14ac:dyDescent="0.15">
      <c r="A40" s="19" t="s">
        <v>60</v>
      </c>
      <c r="B40" s="72"/>
      <c r="C40" s="73"/>
      <c r="D40" s="48">
        <f>IF(D13-C13&gt;0,D13-C13,"")</f>
        <v>836.5</v>
      </c>
      <c r="E40" s="48">
        <f t="shared" si="22"/>
        <v>459</v>
      </c>
      <c r="F40" s="48">
        <f t="shared" si="22"/>
        <v>1552</v>
      </c>
      <c r="G40" s="48">
        <f t="shared" si="18"/>
        <v>838</v>
      </c>
      <c r="H40" s="48">
        <f t="shared" si="18"/>
        <v>531</v>
      </c>
      <c r="I40" s="48">
        <f t="shared" si="18"/>
        <v>531</v>
      </c>
      <c r="J40" s="48">
        <f t="shared" si="19"/>
        <v>531</v>
      </c>
      <c r="K40" s="48">
        <f t="shared" si="19"/>
        <v>531</v>
      </c>
      <c r="L40" s="48">
        <f t="shared" si="19"/>
        <v>531</v>
      </c>
      <c r="M40" s="48">
        <f t="shared" si="19"/>
        <v>531</v>
      </c>
      <c r="N40" s="54">
        <f t="shared" si="20"/>
        <v>531</v>
      </c>
      <c r="O40" s="54">
        <f t="shared" si="20"/>
        <v>532</v>
      </c>
      <c r="P40" s="54">
        <f t="shared" si="20"/>
        <v>545</v>
      </c>
      <c r="Q40" s="54">
        <f t="shared" si="20"/>
        <v>545</v>
      </c>
      <c r="R40" s="54">
        <f t="shared" si="20"/>
        <v>546</v>
      </c>
      <c r="S40" s="54" t="str">
        <f t="shared" si="20"/>
        <v/>
      </c>
      <c r="T40" s="18">
        <f t="shared" si="20"/>
        <v>1602</v>
      </c>
      <c r="U40" s="18">
        <f t="shared" si="20"/>
        <v>1250</v>
      </c>
      <c r="V40" s="18">
        <f t="shared" si="20"/>
        <v>534</v>
      </c>
      <c r="W40" s="18">
        <f t="shared" si="20"/>
        <v>996</v>
      </c>
      <c r="X40" s="18">
        <f t="shared" si="20"/>
        <v>933</v>
      </c>
      <c r="Y40" s="18">
        <f t="shared" si="20"/>
        <v>360</v>
      </c>
      <c r="Z40" s="18">
        <f t="shared" si="20"/>
        <v>515</v>
      </c>
      <c r="AA40" s="18">
        <f t="shared" si="20"/>
        <v>320</v>
      </c>
      <c r="AB40" s="18">
        <f t="shared" si="20"/>
        <v>320</v>
      </c>
      <c r="AC40" s="18" t="str">
        <f t="shared" si="20"/>
        <v/>
      </c>
      <c r="AD40" s="18" t="str">
        <f t="shared" si="20"/>
        <v/>
      </c>
      <c r="AE40" s="18" t="str">
        <f t="shared" si="20"/>
        <v/>
      </c>
      <c r="AF40" s="18" t="str">
        <f t="shared" si="20"/>
        <v/>
      </c>
      <c r="AG40" s="18" t="str">
        <f t="shared" si="20"/>
        <v/>
      </c>
      <c r="AH40" s="18" t="str">
        <f t="shared" si="20"/>
        <v/>
      </c>
      <c r="AI40" s="18" t="str">
        <f t="shared" si="20"/>
        <v/>
      </c>
      <c r="AJ40" s="18" t="str">
        <f t="shared" si="20"/>
        <v/>
      </c>
      <c r="AK40" s="18" t="str">
        <f t="shared" si="20"/>
        <v/>
      </c>
      <c r="AL40" s="18" t="str">
        <f t="shared" si="20"/>
        <v/>
      </c>
      <c r="AM40" s="18" t="str">
        <f t="shared" si="20"/>
        <v/>
      </c>
      <c r="AN40" s="18" t="str">
        <f t="shared" si="20"/>
        <v/>
      </c>
      <c r="AO40" s="18" t="str">
        <f t="shared" si="20"/>
        <v/>
      </c>
      <c r="AP40" s="18" t="str">
        <f t="shared" si="20"/>
        <v/>
      </c>
      <c r="AQ40" s="18" t="str">
        <f t="shared" si="23"/>
        <v/>
      </c>
      <c r="AR40" s="18" t="str">
        <f t="shared" si="23"/>
        <v/>
      </c>
      <c r="AS40" s="18" t="str">
        <f t="shared" si="23"/>
        <v/>
      </c>
      <c r="AT40" s="18" t="str">
        <f t="shared" si="23"/>
        <v/>
      </c>
      <c r="AU40" s="18" t="str">
        <f t="shared" si="23"/>
        <v/>
      </c>
      <c r="AV40" s="18" t="str">
        <f t="shared" si="23"/>
        <v/>
      </c>
      <c r="AW40" s="18" t="str">
        <f t="shared" si="23"/>
        <v/>
      </c>
      <c r="AX40" s="18" t="str">
        <f t="shared" si="23"/>
        <v/>
      </c>
      <c r="AY40" s="18" t="str">
        <f t="shared" si="23"/>
        <v/>
      </c>
      <c r="AZ40" s="18" t="str">
        <f t="shared" si="23"/>
        <v/>
      </c>
      <c r="BA40" s="18" t="str">
        <f t="shared" si="23"/>
        <v/>
      </c>
      <c r="BB40" s="18" t="str">
        <f t="shared" si="23"/>
        <v/>
      </c>
      <c r="BC40" s="18" t="str">
        <f t="shared" si="23"/>
        <v/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49"/>
      <c r="BO40" s="74">
        <f t="shared" si="24"/>
        <v>1602</v>
      </c>
      <c r="BP40" s="75"/>
      <c r="BQ40" s="76"/>
      <c r="BS40" s="51">
        <f t="shared" si="21"/>
        <v>1602</v>
      </c>
      <c r="BT40" s="31"/>
      <c r="BU40" s="31"/>
      <c r="BV40" s="31"/>
    </row>
    <row r="41" spans="1:74" x14ac:dyDescent="0.15">
      <c r="A41" s="19" t="s">
        <v>63</v>
      </c>
      <c r="B41" s="72"/>
      <c r="C41" s="73"/>
      <c r="D41" s="48">
        <f t="shared" si="22"/>
        <v>97</v>
      </c>
      <c r="E41" s="48">
        <f t="shared" si="22"/>
        <v>145</v>
      </c>
      <c r="F41" s="48">
        <f t="shared" si="22"/>
        <v>91</v>
      </c>
      <c r="G41" s="48">
        <f t="shared" si="18"/>
        <v>91</v>
      </c>
      <c r="H41" s="48">
        <f t="shared" si="18"/>
        <v>90</v>
      </c>
      <c r="I41" s="48">
        <f t="shared" si="18"/>
        <v>309</v>
      </c>
      <c r="J41" s="48">
        <f t="shared" si="19"/>
        <v>142</v>
      </c>
      <c r="K41" s="48">
        <f t="shared" si="19"/>
        <v>142</v>
      </c>
      <c r="L41" s="48">
        <f t="shared" si="19"/>
        <v>42</v>
      </c>
      <c r="M41" s="48">
        <f t="shared" si="19"/>
        <v>42</v>
      </c>
      <c r="N41" s="54">
        <f t="shared" si="20"/>
        <v>108</v>
      </c>
      <c r="O41" s="54">
        <f t="shared" si="20"/>
        <v>108</v>
      </c>
      <c r="P41" s="54">
        <f t="shared" si="20"/>
        <v>104</v>
      </c>
      <c r="Q41" s="54">
        <f t="shared" si="20"/>
        <v>104</v>
      </c>
      <c r="R41" s="54">
        <f t="shared" si="20"/>
        <v>104</v>
      </c>
      <c r="S41" s="54">
        <f t="shared" si="20"/>
        <v>122</v>
      </c>
      <c r="T41" s="18">
        <f t="shared" si="20"/>
        <v>395</v>
      </c>
      <c r="U41" s="18">
        <f t="shared" si="20"/>
        <v>97</v>
      </c>
      <c r="V41" s="18">
        <f t="shared" si="20"/>
        <v>97</v>
      </c>
      <c r="W41" s="18">
        <f t="shared" si="20"/>
        <v>97</v>
      </c>
      <c r="X41" s="18">
        <f t="shared" si="20"/>
        <v>251</v>
      </c>
      <c r="Y41" s="18">
        <f t="shared" si="20"/>
        <v>111</v>
      </c>
      <c r="Z41" s="18">
        <f t="shared" si="20"/>
        <v>184</v>
      </c>
      <c r="AA41" s="18">
        <f t="shared" si="20"/>
        <v>308</v>
      </c>
      <c r="AB41" s="18">
        <f t="shared" si="20"/>
        <v>179</v>
      </c>
      <c r="AC41" s="18" t="str">
        <f t="shared" si="20"/>
        <v/>
      </c>
      <c r="AD41" s="18" t="str">
        <f t="shared" si="20"/>
        <v/>
      </c>
      <c r="AE41" s="18" t="str">
        <f t="shared" si="20"/>
        <v/>
      </c>
      <c r="AF41" s="18" t="str">
        <f t="shared" si="20"/>
        <v/>
      </c>
      <c r="AG41" s="18" t="str">
        <f t="shared" si="20"/>
        <v/>
      </c>
      <c r="AH41" s="18" t="str">
        <f t="shared" si="20"/>
        <v/>
      </c>
      <c r="AI41" s="18" t="str">
        <f t="shared" si="20"/>
        <v/>
      </c>
      <c r="AJ41" s="18" t="str">
        <f t="shared" si="20"/>
        <v/>
      </c>
      <c r="AK41" s="18" t="str">
        <f t="shared" si="20"/>
        <v/>
      </c>
      <c r="AL41" s="18" t="str">
        <f t="shared" si="20"/>
        <v/>
      </c>
      <c r="AM41" s="18" t="str">
        <f t="shared" si="20"/>
        <v/>
      </c>
      <c r="AN41" s="18" t="str">
        <f t="shared" si="20"/>
        <v/>
      </c>
      <c r="AO41" s="18" t="str">
        <f t="shared" si="20"/>
        <v/>
      </c>
      <c r="AP41" s="18" t="str">
        <f t="shared" si="20"/>
        <v/>
      </c>
      <c r="AQ41" s="18" t="str">
        <f t="shared" si="23"/>
        <v/>
      </c>
      <c r="AR41" s="18" t="str">
        <f t="shared" si="23"/>
        <v/>
      </c>
      <c r="AS41" s="18" t="str">
        <f t="shared" si="23"/>
        <v/>
      </c>
      <c r="AT41" s="18" t="str">
        <f t="shared" si="23"/>
        <v/>
      </c>
      <c r="AU41" s="18" t="str">
        <f t="shared" si="23"/>
        <v/>
      </c>
      <c r="AV41" s="18" t="str">
        <f t="shared" si="23"/>
        <v/>
      </c>
      <c r="AW41" s="18" t="str">
        <f t="shared" si="23"/>
        <v/>
      </c>
      <c r="AX41" s="18" t="str">
        <f t="shared" si="23"/>
        <v/>
      </c>
      <c r="AY41" s="18" t="str">
        <f t="shared" si="23"/>
        <v/>
      </c>
      <c r="AZ41" s="18" t="str">
        <f t="shared" si="23"/>
        <v/>
      </c>
      <c r="BA41" s="18" t="str">
        <f t="shared" si="23"/>
        <v/>
      </c>
      <c r="BB41" s="18" t="str">
        <f t="shared" si="23"/>
        <v/>
      </c>
      <c r="BC41" s="18" t="str">
        <f t="shared" si="23"/>
        <v/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49"/>
      <c r="BO41" s="74">
        <f t="shared" si="24"/>
        <v>395</v>
      </c>
      <c r="BP41" s="75"/>
      <c r="BQ41" s="76"/>
      <c r="BS41" s="51">
        <f t="shared" si="21"/>
        <v>395</v>
      </c>
      <c r="BT41" s="31"/>
      <c r="BU41" s="31"/>
      <c r="BV41" s="31"/>
    </row>
    <row r="42" spans="1:74" x14ac:dyDescent="0.15">
      <c r="A42" s="19" t="s">
        <v>68</v>
      </c>
      <c r="B42" s="72"/>
      <c r="C42" s="73"/>
      <c r="D42" s="48">
        <f t="shared" si="22"/>
        <v>327</v>
      </c>
      <c r="E42" s="48">
        <f t="shared" si="22"/>
        <v>69</v>
      </c>
      <c r="F42" s="48">
        <f t="shared" si="22"/>
        <v>69</v>
      </c>
      <c r="G42" s="48">
        <f t="shared" si="18"/>
        <v>69</v>
      </c>
      <c r="H42" s="48">
        <f t="shared" si="18"/>
        <v>330</v>
      </c>
      <c r="I42" s="48">
        <f t="shared" si="18"/>
        <v>330</v>
      </c>
      <c r="J42" s="48">
        <f t="shared" si="19"/>
        <v>91.5</v>
      </c>
      <c r="K42" s="48">
        <f t="shared" si="19"/>
        <v>91.5</v>
      </c>
      <c r="L42" s="48">
        <f t="shared" si="19"/>
        <v>450</v>
      </c>
      <c r="M42" s="48">
        <f t="shared" si="19"/>
        <v>450</v>
      </c>
      <c r="N42" s="54">
        <f t="shared" si="20"/>
        <v>1014</v>
      </c>
      <c r="O42" s="54">
        <f t="shared" si="20"/>
        <v>1014</v>
      </c>
      <c r="P42" s="54">
        <f t="shared" si="20"/>
        <v>1014</v>
      </c>
      <c r="Q42" s="54">
        <f t="shared" si="20"/>
        <v>1014</v>
      </c>
      <c r="R42" s="54">
        <f t="shared" si="20"/>
        <v>1014</v>
      </c>
      <c r="S42" s="54">
        <f t="shared" si="20"/>
        <v>1014</v>
      </c>
      <c r="T42" s="18" t="str">
        <f t="shared" si="20"/>
        <v/>
      </c>
      <c r="U42" s="18">
        <f t="shared" si="20"/>
        <v>153</v>
      </c>
      <c r="V42" s="18">
        <f t="shared" si="20"/>
        <v>153</v>
      </c>
      <c r="W42" s="18">
        <f t="shared" si="20"/>
        <v>595</v>
      </c>
      <c r="X42" s="18">
        <f t="shared" si="20"/>
        <v>50</v>
      </c>
      <c r="Y42" s="18">
        <f t="shared" si="20"/>
        <v>39</v>
      </c>
      <c r="Z42" s="18">
        <f t="shared" si="20"/>
        <v>39</v>
      </c>
      <c r="AA42" s="18">
        <f t="shared" si="20"/>
        <v>184</v>
      </c>
      <c r="AB42" s="18">
        <f t="shared" si="20"/>
        <v>238</v>
      </c>
      <c r="AC42" s="18" t="str">
        <f t="shared" si="20"/>
        <v/>
      </c>
      <c r="AD42" s="18" t="str">
        <f t="shared" si="20"/>
        <v/>
      </c>
      <c r="AE42" s="18" t="str">
        <f t="shared" si="20"/>
        <v/>
      </c>
      <c r="AF42" s="18" t="str">
        <f t="shared" si="20"/>
        <v/>
      </c>
      <c r="AG42" s="18" t="str">
        <f t="shared" si="20"/>
        <v/>
      </c>
      <c r="AH42" s="18" t="str">
        <f t="shared" si="20"/>
        <v/>
      </c>
      <c r="AI42" s="18" t="str">
        <f t="shared" si="20"/>
        <v/>
      </c>
      <c r="AJ42" s="18" t="str">
        <f t="shared" si="20"/>
        <v/>
      </c>
      <c r="AK42" s="18" t="str">
        <f t="shared" si="20"/>
        <v/>
      </c>
      <c r="AL42" s="18" t="str">
        <f t="shared" si="20"/>
        <v/>
      </c>
      <c r="AM42" s="18" t="str">
        <f t="shared" si="20"/>
        <v/>
      </c>
      <c r="AN42" s="18" t="str">
        <f t="shared" si="20"/>
        <v/>
      </c>
      <c r="AO42" s="18" t="str">
        <f t="shared" si="20"/>
        <v/>
      </c>
      <c r="AP42" s="18" t="str">
        <f t="shared" si="20"/>
        <v/>
      </c>
      <c r="AQ42" s="18" t="str">
        <f t="shared" si="23"/>
        <v/>
      </c>
      <c r="AR42" s="18" t="str">
        <f t="shared" si="23"/>
        <v/>
      </c>
      <c r="AS42" s="18" t="str">
        <f t="shared" si="23"/>
        <v/>
      </c>
      <c r="AT42" s="18" t="str">
        <f t="shared" si="23"/>
        <v/>
      </c>
      <c r="AU42" s="18" t="str">
        <f t="shared" si="23"/>
        <v/>
      </c>
      <c r="AV42" s="18" t="str">
        <f t="shared" si="23"/>
        <v/>
      </c>
      <c r="AW42" s="18" t="str">
        <f t="shared" si="23"/>
        <v/>
      </c>
      <c r="AX42" s="18" t="str">
        <f t="shared" si="23"/>
        <v/>
      </c>
      <c r="AY42" s="18" t="str">
        <f t="shared" si="23"/>
        <v/>
      </c>
      <c r="AZ42" s="18" t="str">
        <f t="shared" si="23"/>
        <v/>
      </c>
      <c r="BA42" s="18" t="str">
        <f t="shared" si="23"/>
        <v/>
      </c>
      <c r="BB42" s="18" t="str">
        <f t="shared" si="23"/>
        <v/>
      </c>
      <c r="BC42" s="18" t="str">
        <f t="shared" si="23"/>
        <v/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49"/>
      <c r="BO42" s="74">
        <f t="shared" si="24"/>
        <v>1014</v>
      </c>
      <c r="BP42" s="75"/>
      <c r="BQ42" s="76"/>
      <c r="BS42" s="51">
        <f t="shared" si="21"/>
        <v>1014</v>
      </c>
      <c r="BT42" s="31"/>
      <c r="BU42" s="31"/>
      <c r="BV42" s="31"/>
    </row>
    <row r="43" spans="1:74" x14ac:dyDescent="0.15">
      <c r="A43" s="19" t="s">
        <v>72</v>
      </c>
      <c r="B43" s="72"/>
      <c r="C43" s="73"/>
      <c r="D43" s="48">
        <f t="shared" si="22"/>
        <v>536</v>
      </c>
      <c r="E43" s="48">
        <f t="shared" si="22"/>
        <v>140</v>
      </c>
      <c r="F43" s="48">
        <f t="shared" si="22"/>
        <v>327</v>
      </c>
      <c r="G43" s="48">
        <f t="shared" si="18"/>
        <v>78</v>
      </c>
      <c r="H43" s="48">
        <f t="shared" si="18"/>
        <v>175</v>
      </c>
      <c r="I43" s="48">
        <f t="shared" si="18"/>
        <v>175</v>
      </c>
      <c r="J43" s="48">
        <f t="shared" si="19"/>
        <v>99.5</v>
      </c>
      <c r="K43" s="48">
        <f t="shared" si="19"/>
        <v>99.5</v>
      </c>
      <c r="L43" s="48">
        <f t="shared" si="19"/>
        <v>100</v>
      </c>
      <c r="M43" s="48">
        <f t="shared" si="19"/>
        <v>100</v>
      </c>
      <c r="N43" s="54">
        <f t="shared" si="20"/>
        <v>100</v>
      </c>
      <c r="O43" s="54">
        <f t="shared" si="20"/>
        <v>100</v>
      </c>
      <c r="P43" s="54">
        <f t="shared" si="20"/>
        <v>114</v>
      </c>
      <c r="Q43" s="54">
        <f t="shared" si="20"/>
        <v>114</v>
      </c>
      <c r="R43" s="54">
        <f t="shared" si="20"/>
        <v>114</v>
      </c>
      <c r="S43" s="54">
        <f t="shared" si="20"/>
        <v>257</v>
      </c>
      <c r="T43" s="18">
        <f t="shared" si="20"/>
        <v>220</v>
      </c>
      <c r="U43" s="18">
        <f t="shared" si="20"/>
        <v>174</v>
      </c>
      <c r="V43" s="18">
        <f t="shared" si="20"/>
        <v>174</v>
      </c>
      <c r="W43" s="18">
        <f t="shared" si="20"/>
        <v>174</v>
      </c>
      <c r="X43" s="18">
        <f t="shared" ref="X43:AP56" si="25">IF(Y16-X16&gt;0,Y16-X16,"")</f>
        <v>307</v>
      </c>
      <c r="Y43" s="18">
        <f t="shared" si="25"/>
        <v>80</v>
      </c>
      <c r="Z43" s="18">
        <f t="shared" si="25"/>
        <v>259</v>
      </c>
      <c r="AA43" s="18">
        <f t="shared" si="25"/>
        <v>100</v>
      </c>
      <c r="AB43" s="18">
        <f t="shared" si="25"/>
        <v>153</v>
      </c>
      <c r="AC43" s="18" t="str">
        <f t="shared" si="25"/>
        <v/>
      </c>
      <c r="AD43" s="18" t="str">
        <f t="shared" si="25"/>
        <v/>
      </c>
      <c r="AE43" s="18" t="str">
        <f t="shared" si="25"/>
        <v/>
      </c>
      <c r="AF43" s="18" t="str">
        <f t="shared" si="25"/>
        <v/>
      </c>
      <c r="AG43" s="18" t="str">
        <f t="shared" si="25"/>
        <v/>
      </c>
      <c r="AH43" s="18" t="str">
        <f t="shared" si="25"/>
        <v/>
      </c>
      <c r="AI43" s="18" t="str">
        <f t="shared" si="25"/>
        <v/>
      </c>
      <c r="AJ43" s="18" t="str">
        <f t="shared" si="25"/>
        <v/>
      </c>
      <c r="AK43" s="18" t="str">
        <f t="shared" si="25"/>
        <v/>
      </c>
      <c r="AL43" s="18" t="str">
        <f t="shared" si="25"/>
        <v/>
      </c>
      <c r="AM43" s="18" t="str">
        <f t="shared" si="25"/>
        <v/>
      </c>
      <c r="AN43" s="18" t="str">
        <f t="shared" si="25"/>
        <v/>
      </c>
      <c r="AO43" s="18" t="str">
        <f t="shared" si="25"/>
        <v/>
      </c>
      <c r="AP43" s="18" t="str">
        <f t="shared" si="25"/>
        <v/>
      </c>
      <c r="AQ43" s="18" t="str">
        <f t="shared" si="23"/>
        <v/>
      </c>
      <c r="AR43" s="18" t="str">
        <f t="shared" si="23"/>
        <v/>
      </c>
      <c r="AS43" s="18" t="str">
        <f t="shared" si="23"/>
        <v/>
      </c>
      <c r="AT43" s="18" t="str">
        <f t="shared" si="23"/>
        <v/>
      </c>
      <c r="AU43" s="18" t="str">
        <f t="shared" si="23"/>
        <v/>
      </c>
      <c r="AV43" s="18" t="str">
        <f t="shared" si="23"/>
        <v/>
      </c>
      <c r="AW43" s="18" t="str">
        <f t="shared" si="23"/>
        <v/>
      </c>
      <c r="AX43" s="18" t="str">
        <f t="shared" si="23"/>
        <v/>
      </c>
      <c r="AY43" s="18" t="str">
        <f t="shared" si="23"/>
        <v/>
      </c>
      <c r="AZ43" s="18" t="str">
        <f t="shared" si="23"/>
        <v/>
      </c>
      <c r="BA43" s="18" t="str">
        <f t="shared" si="23"/>
        <v/>
      </c>
      <c r="BB43" s="18" t="str">
        <f t="shared" si="23"/>
        <v/>
      </c>
      <c r="BC43" s="18" t="str">
        <f t="shared" si="23"/>
        <v/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49"/>
      <c r="BO43" s="74">
        <f t="shared" si="24"/>
        <v>307</v>
      </c>
      <c r="BP43" s="75"/>
      <c r="BQ43" s="76"/>
      <c r="BS43" s="51">
        <f t="shared" si="21"/>
        <v>307</v>
      </c>
      <c r="BT43" s="31"/>
      <c r="BU43" s="31"/>
      <c r="BV43" s="31"/>
    </row>
    <row r="44" spans="1:74" x14ac:dyDescent="0.15">
      <c r="A44" s="26" t="s">
        <v>77</v>
      </c>
      <c r="B44" s="72"/>
      <c r="C44" s="73"/>
      <c r="D44" s="48">
        <f t="shared" si="22"/>
        <v>111</v>
      </c>
      <c r="E44" s="48">
        <f t="shared" si="22"/>
        <v>736</v>
      </c>
      <c r="F44" s="48">
        <f t="shared" si="22"/>
        <v>412</v>
      </c>
      <c r="G44" s="48">
        <f t="shared" si="18"/>
        <v>481</v>
      </c>
      <c r="H44" s="48" t="str">
        <f t="shared" si="18"/>
        <v/>
      </c>
      <c r="I44" s="48">
        <f t="shared" si="18"/>
        <v>715</v>
      </c>
      <c r="J44" s="48">
        <f t="shared" si="19"/>
        <v>376</v>
      </c>
      <c r="K44" s="48">
        <f t="shared" si="19"/>
        <v>376</v>
      </c>
      <c r="L44" s="48">
        <f t="shared" si="19"/>
        <v>495.5</v>
      </c>
      <c r="M44" s="48">
        <f t="shared" si="19"/>
        <v>495.5</v>
      </c>
      <c r="N44" s="54">
        <f t="shared" ref="N44:AC58" si="26">IF(O17-N17&gt;0,O17-N17,"")</f>
        <v>480</v>
      </c>
      <c r="O44" s="54">
        <f t="shared" si="26"/>
        <v>873</v>
      </c>
      <c r="P44" s="54">
        <f t="shared" si="26"/>
        <v>307</v>
      </c>
      <c r="Q44" s="54">
        <f t="shared" si="26"/>
        <v>307</v>
      </c>
      <c r="R44" s="54">
        <f t="shared" si="26"/>
        <v>307</v>
      </c>
      <c r="S44" s="54">
        <f t="shared" si="26"/>
        <v>612</v>
      </c>
      <c r="T44" s="18">
        <f t="shared" si="26"/>
        <v>520</v>
      </c>
      <c r="U44" s="18">
        <f t="shared" si="26"/>
        <v>504.5</v>
      </c>
      <c r="V44" s="18">
        <f t="shared" si="26"/>
        <v>504.5</v>
      </c>
      <c r="W44" s="18">
        <f t="shared" si="26"/>
        <v>634</v>
      </c>
      <c r="X44" s="18">
        <f t="shared" si="25"/>
        <v>544</v>
      </c>
      <c r="Y44" s="18">
        <f t="shared" si="25"/>
        <v>501</v>
      </c>
      <c r="Z44" s="18">
        <f t="shared" si="25"/>
        <v>521</v>
      </c>
      <c r="AA44" s="18">
        <f t="shared" si="25"/>
        <v>540</v>
      </c>
      <c r="AB44" s="18">
        <f t="shared" si="25"/>
        <v>449</v>
      </c>
      <c r="AC44" s="18" t="str">
        <f t="shared" si="25"/>
        <v/>
      </c>
      <c r="AD44" s="18" t="str">
        <f t="shared" si="25"/>
        <v/>
      </c>
      <c r="AE44" s="18" t="str">
        <f t="shared" si="25"/>
        <v/>
      </c>
      <c r="AF44" s="18" t="str">
        <f t="shared" si="25"/>
        <v/>
      </c>
      <c r="AG44" s="18" t="str">
        <f t="shared" si="25"/>
        <v/>
      </c>
      <c r="AH44" s="18" t="str">
        <f t="shared" si="25"/>
        <v/>
      </c>
      <c r="AI44" s="18" t="str">
        <f t="shared" si="25"/>
        <v/>
      </c>
      <c r="AJ44" s="18" t="str">
        <f t="shared" si="25"/>
        <v/>
      </c>
      <c r="AK44" s="18" t="str">
        <f t="shared" si="25"/>
        <v/>
      </c>
      <c r="AL44" s="18" t="str">
        <f t="shared" si="25"/>
        <v/>
      </c>
      <c r="AM44" s="18" t="str">
        <f t="shared" si="25"/>
        <v/>
      </c>
      <c r="AN44" s="18" t="str">
        <f t="shared" si="25"/>
        <v/>
      </c>
      <c r="AO44" s="18" t="str">
        <f t="shared" si="25"/>
        <v/>
      </c>
      <c r="AP44" s="18" t="str">
        <f t="shared" si="25"/>
        <v/>
      </c>
      <c r="AQ44" s="18" t="str">
        <f t="shared" si="23"/>
        <v/>
      </c>
      <c r="AR44" s="18" t="str">
        <f t="shared" si="23"/>
        <v/>
      </c>
      <c r="AS44" s="18" t="str">
        <f t="shared" si="23"/>
        <v/>
      </c>
      <c r="AT44" s="18" t="str">
        <f t="shared" si="23"/>
        <v/>
      </c>
      <c r="AU44" s="18" t="str">
        <f t="shared" si="23"/>
        <v/>
      </c>
      <c r="AV44" s="18" t="str">
        <f t="shared" si="23"/>
        <v/>
      </c>
      <c r="AW44" s="18" t="str">
        <f t="shared" si="23"/>
        <v/>
      </c>
      <c r="AX44" s="18" t="str">
        <f t="shared" si="23"/>
        <v/>
      </c>
      <c r="AY44" s="18" t="str">
        <f t="shared" si="23"/>
        <v/>
      </c>
      <c r="AZ44" s="18" t="str">
        <f t="shared" si="23"/>
        <v/>
      </c>
      <c r="BA44" s="18" t="str">
        <f t="shared" si="23"/>
        <v/>
      </c>
      <c r="BB44" s="18" t="str">
        <f t="shared" si="23"/>
        <v/>
      </c>
      <c r="BC44" s="18" t="str">
        <f t="shared" si="23"/>
        <v/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49"/>
      <c r="BO44" s="74">
        <f t="shared" si="24"/>
        <v>873</v>
      </c>
      <c r="BP44" s="75"/>
      <c r="BQ44" s="76"/>
      <c r="BS44" s="51">
        <f t="shared" si="21"/>
        <v>873</v>
      </c>
      <c r="BT44" s="31"/>
      <c r="BU44" s="31"/>
      <c r="BV44" s="31"/>
    </row>
    <row r="45" spans="1:74" x14ac:dyDescent="0.15">
      <c r="A45" s="19" t="s">
        <v>82</v>
      </c>
      <c r="B45" s="72"/>
      <c r="C45" s="73"/>
      <c r="D45" s="48">
        <f t="shared" si="22"/>
        <v>156</v>
      </c>
      <c r="E45" s="48">
        <f t="shared" si="22"/>
        <v>912</v>
      </c>
      <c r="F45" s="48">
        <f t="shared" si="22"/>
        <v>536</v>
      </c>
      <c r="G45" s="48">
        <f t="shared" si="18"/>
        <v>830</v>
      </c>
      <c r="H45" s="48">
        <f t="shared" si="18"/>
        <v>224</v>
      </c>
      <c r="I45" s="48">
        <f t="shared" si="18"/>
        <v>700</v>
      </c>
      <c r="J45" s="48">
        <f t="shared" si="19"/>
        <v>256.5</v>
      </c>
      <c r="K45" s="48">
        <f t="shared" si="19"/>
        <v>256.5</v>
      </c>
      <c r="L45" s="48">
        <f t="shared" si="19"/>
        <v>383</v>
      </c>
      <c r="M45" s="48">
        <f t="shared" si="19"/>
        <v>383</v>
      </c>
      <c r="N45" s="54">
        <f t="shared" si="26"/>
        <v>400</v>
      </c>
      <c r="O45" s="54">
        <f t="shared" si="26"/>
        <v>1472</v>
      </c>
      <c r="P45" s="54">
        <f t="shared" si="26"/>
        <v>592</v>
      </c>
      <c r="Q45" s="54">
        <f t="shared" si="26"/>
        <v>592</v>
      </c>
      <c r="R45" s="54">
        <f t="shared" si="26"/>
        <v>592</v>
      </c>
      <c r="S45" s="54">
        <f t="shared" si="26"/>
        <v>591</v>
      </c>
      <c r="T45" s="18">
        <f t="shared" si="26"/>
        <v>62</v>
      </c>
      <c r="U45" s="18">
        <f t="shared" si="26"/>
        <v>792</v>
      </c>
      <c r="V45" s="18">
        <f t="shared" si="26"/>
        <v>792</v>
      </c>
      <c r="W45" s="18">
        <f t="shared" si="26"/>
        <v>792</v>
      </c>
      <c r="X45" s="18">
        <f t="shared" si="25"/>
        <v>827</v>
      </c>
      <c r="Y45" s="18">
        <f t="shared" si="25"/>
        <v>886</v>
      </c>
      <c r="Z45" s="18">
        <f t="shared" si="25"/>
        <v>613</v>
      </c>
      <c r="AA45" s="18">
        <f t="shared" si="25"/>
        <v>758</v>
      </c>
      <c r="AB45" s="18">
        <f t="shared" si="25"/>
        <v>555</v>
      </c>
      <c r="AC45" s="18" t="str">
        <f t="shared" si="25"/>
        <v/>
      </c>
      <c r="AD45" s="18" t="str">
        <f t="shared" si="25"/>
        <v/>
      </c>
      <c r="AE45" s="18" t="str">
        <f t="shared" si="25"/>
        <v/>
      </c>
      <c r="AF45" s="18" t="str">
        <f t="shared" si="25"/>
        <v/>
      </c>
      <c r="AG45" s="18" t="str">
        <f t="shared" si="25"/>
        <v/>
      </c>
      <c r="AH45" s="18" t="str">
        <f t="shared" si="25"/>
        <v/>
      </c>
      <c r="AI45" s="18" t="str">
        <f t="shared" si="25"/>
        <v/>
      </c>
      <c r="AJ45" s="18" t="str">
        <f t="shared" si="25"/>
        <v/>
      </c>
      <c r="AK45" s="18" t="str">
        <f t="shared" si="25"/>
        <v/>
      </c>
      <c r="AL45" s="18" t="str">
        <f t="shared" si="25"/>
        <v/>
      </c>
      <c r="AM45" s="18" t="str">
        <f t="shared" si="25"/>
        <v/>
      </c>
      <c r="AN45" s="18" t="str">
        <f t="shared" si="25"/>
        <v/>
      </c>
      <c r="AO45" s="18" t="str">
        <f t="shared" si="25"/>
        <v/>
      </c>
      <c r="AP45" s="18" t="str">
        <f t="shared" si="25"/>
        <v/>
      </c>
      <c r="AQ45" s="18" t="str">
        <f t="shared" si="23"/>
        <v/>
      </c>
      <c r="AR45" s="18" t="str">
        <f t="shared" si="23"/>
        <v/>
      </c>
      <c r="AS45" s="18" t="str">
        <f t="shared" si="23"/>
        <v/>
      </c>
      <c r="AT45" s="18" t="str">
        <f t="shared" si="23"/>
        <v/>
      </c>
      <c r="AU45" s="18" t="str">
        <f t="shared" si="23"/>
        <v/>
      </c>
      <c r="AV45" s="18" t="str">
        <f t="shared" si="23"/>
        <v/>
      </c>
      <c r="AW45" s="18" t="str">
        <f t="shared" si="23"/>
        <v/>
      </c>
      <c r="AX45" s="18" t="str">
        <f t="shared" si="23"/>
        <v/>
      </c>
      <c r="AY45" s="18" t="str">
        <f t="shared" si="23"/>
        <v/>
      </c>
      <c r="AZ45" s="18" t="str">
        <f t="shared" si="23"/>
        <v/>
      </c>
      <c r="BA45" s="18" t="str">
        <f t="shared" si="23"/>
        <v/>
      </c>
      <c r="BB45" s="18" t="str">
        <f t="shared" si="23"/>
        <v/>
      </c>
      <c r="BC45" s="18" t="str">
        <f t="shared" si="23"/>
        <v/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49"/>
      <c r="BO45" s="74">
        <f t="shared" si="24"/>
        <v>1472</v>
      </c>
      <c r="BP45" s="75"/>
      <c r="BQ45" s="76"/>
      <c r="BS45" s="51">
        <f t="shared" si="21"/>
        <v>1472</v>
      </c>
      <c r="BT45" s="31"/>
      <c r="BU45" s="31"/>
      <c r="BV45" s="31"/>
    </row>
    <row r="46" spans="1:74" x14ac:dyDescent="0.15">
      <c r="A46" s="19" t="s">
        <v>85</v>
      </c>
      <c r="B46" s="72"/>
      <c r="C46" s="73"/>
      <c r="D46" s="48">
        <f t="shared" si="22"/>
        <v>963</v>
      </c>
      <c r="E46" s="48">
        <f t="shared" si="22"/>
        <v>1003.5</v>
      </c>
      <c r="F46" s="48">
        <f t="shared" si="22"/>
        <v>1003.5</v>
      </c>
      <c r="G46" s="48">
        <f t="shared" si="18"/>
        <v>924</v>
      </c>
      <c r="H46" s="48">
        <f t="shared" si="18"/>
        <v>924</v>
      </c>
      <c r="I46" s="48">
        <f t="shared" si="18"/>
        <v>910</v>
      </c>
      <c r="J46" s="48">
        <f t="shared" si="19"/>
        <v>986.5</v>
      </c>
      <c r="K46" s="48">
        <f t="shared" si="19"/>
        <v>986.5</v>
      </c>
      <c r="L46" s="48">
        <f t="shared" si="19"/>
        <v>806.5</v>
      </c>
      <c r="M46" s="48">
        <f t="shared" si="19"/>
        <v>806.5</v>
      </c>
      <c r="N46" s="54">
        <f t="shared" si="26"/>
        <v>917</v>
      </c>
      <c r="O46" s="54">
        <f t="shared" si="26"/>
        <v>900</v>
      </c>
      <c r="P46" s="54">
        <f t="shared" si="26"/>
        <v>702</v>
      </c>
      <c r="Q46" s="54">
        <f t="shared" si="26"/>
        <v>702</v>
      </c>
      <c r="R46" s="54">
        <f t="shared" si="26"/>
        <v>701</v>
      </c>
      <c r="S46" s="54">
        <f t="shared" si="26"/>
        <v>702</v>
      </c>
      <c r="T46" s="18">
        <f t="shared" si="26"/>
        <v>702</v>
      </c>
      <c r="U46" s="18">
        <f t="shared" si="26"/>
        <v>1065.5</v>
      </c>
      <c r="V46" s="18">
        <f t="shared" si="26"/>
        <v>1065.5</v>
      </c>
      <c r="W46" s="18">
        <f t="shared" si="26"/>
        <v>1512</v>
      </c>
      <c r="X46" s="18">
        <f t="shared" si="25"/>
        <v>524</v>
      </c>
      <c r="Y46" s="18">
        <f t="shared" si="25"/>
        <v>883.5</v>
      </c>
      <c r="Z46" s="18">
        <f t="shared" si="25"/>
        <v>883.5</v>
      </c>
      <c r="AA46" s="18" t="str">
        <f t="shared" si="25"/>
        <v/>
      </c>
      <c r="AB46" s="18">
        <f t="shared" si="25"/>
        <v>523</v>
      </c>
      <c r="AC46" s="18" t="str">
        <f t="shared" si="25"/>
        <v/>
      </c>
      <c r="AD46" s="18" t="str">
        <f t="shared" si="25"/>
        <v/>
      </c>
      <c r="AE46" s="18" t="str">
        <f t="shared" si="25"/>
        <v/>
      </c>
      <c r="AF46" s="18" t="str">
        <f t="shared" si="25"/>
        <v/>
      </c>
      <c r="AG46" s="18" t="str">
        <f t="shared" si="25"/>
        <v/>
      </c>
      <c r="AH46" s="18" t="str">
        <f t="shared" si="25"/>
        <v/>
      </c>
      <c r="AI46" s="18" t="str">
        <f t="shared" si="25"/>
        <v/>
      </c>
      <c r="AJ46" s="18" t="str">
        <f t="shared" si="25"/>
        <v/>
      </c>
      <c r="AK46" s="18" t="str">
        <f t="shared" si="25"/>
        <v/>
      </c>
      <c r="AL46" s="18" t="str">
        <f t="shared" si="25"/>
        <v/>
      </c>
      <c r="AM46" s="18" t="str">
        <f t="shared" si="25"/>
        <v/>
      </c>
      <c r="AN46" s="18" t="str">
        <f t="shared" si="25"/>
        <v/>
      </c>
      <c r="AO46" s="18" t="str">
        <f t="shared" si="25"/>
        <v/>
      </c>
      <c r="AP46" s="18" t="str">
        <f t="shared" si="25"/>
        <v/>
      </c>
      <c r="AQ46" s="18" t="str">
        <f t="shared" si="23"/>
        <v/>
      </c>
      <c r="AR46" s="18" t="str">
        <f t="shared" si="23"/>
        <v/>
      </c>
      <c r="AS46" s="18" t="str">
        <f t="shared" si="23"/>
        <v/>
      </c>
      <c r="AT46" s="18" t="str">
        <f t="shared" si="23"/>
        <v/>
      </c>
      <c r="AU46" s="18" t="str">
        <f t="shared" si="23"/>
        <v/>
      </c>
      <c r="AV46" s="18" t="str">
        <f t="shared" si="23"/>
        <v/>
      </c>
      <c r="AW46" s="18" t="str">
        <f t="shared" si="23"/>
        <v/>
      </c>
      <c r="AX46" s="18" t="str">
        <f t="shared" si="23"/>
        <v/>
      </c>
      <c r="AY46" s="18" t="str">
        <f t="shared" si="23"/>
        <v/>
      </c>
      <c r="AZ46" s="18" t="str">
        <f t="shared" si="23"/>
        <v/>
      </c>
      <c r="BA46" s="18" t="str">
        <f t="shared" si="23"/>
        <v/>
      </c>
      <c r="BB46" s="18" t="str">
        <f t="shared" si="23"/>
        <v/>
      </c>
      <c r="BC46" s="18" t="str">
        <f t="shared" si="23"/>
        <v/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49"/>
      <c r="BO46" s="74">
        <f t="shared" si="24"/>
        <v>1512</v>
      </c>
      <c r="BP46" s="75"/>
      <c r="BQ46" s="76"/>
      <c r="BS46" s="51">
        <f t="shared" si="21"/>
        <v>1512</v>
      </c>
    </row>
    <row r="47" spans="1:74" x14ac:dyDescent="0.15">
      <c r="A47" s="19" t="s">
        <v>89</v>
      </c>
      <c r="B47" s="72"/>
      <c r="C47" s="73"/>
      <c r="D47" s="48">
        <f t="shared" si="22"/>
        <v>524</v>
      </c>
      <c r="E47" s="48">
        <f t="shared" si="22"/>
        <v>550</v>
      </c>
      <c r="F47" s="48">
        <f t="shared" si="22"/>
        <v>616</v>
      </c>
      <c r="G47" s="48">
        <f t="shared" si="18"/>
        <v>664</v>
      </c>
      <c r="H47" s="48">
        <f t="shared" si="18"/>
        <v>477</v>
      </c>
      <c r="I47" s="48">
        <f t="shared" si="18"/>
        <v>727</v>
      </c>
      <c r="J47" s="48">
        <f t="shared" si="19"/>
        <v>471</v>
      </c>
      <c r="K47" s="48">
        <f t="shared" si="19"/>
        <v>471</v>
      </c>
      <c r="L47" s="48">
        <f t="shared" si="19"/>
        <v>539.5</v>
      </c>
      <c r="M47" s="48">
        <f t="shared" si="19"/>
        <v>539.5</v>
      </c>
      <c r="N47" s="54">
        <f t="shared" si="26"/>
        <v>476</v>
      </c>
      <c r="O47" s="54">
        <f t="shared" si="26"/>
        <v>669</v>
      </c>
      <c r="P47" s="54">
        <f t="shared" si="26"/>
        <v>529</v>
      </c>
      <c r="Q47" s="54">
        <f t="shared" si="26"/>
        <v>529</v>
      </c>
      <c r="R47" s="54">
        <f t="shared" si="26"/>
        <v>528</v>
      </c>
      <c r="S47" s="54">
        <f t="shared" si="26"/>
        <v>640</v>
      </c>
      <c r="T47" s="18">
        <f t="shared" si="26"/>
        <v>585</v>
      </c>
      <c r="U47" s="18">
        <f t="shared" si="26"/>
        <v>734</v>
      </c>
      <c r="V47" s="18">
        <f t="shared" si="26"/>
        <v>375</v>
      </c>
      <c r="W47" s="18">
        <f t="shared" si="26"/>
        <v>623</v>
      </c>
      <c r="X47" s="18">
        <f t="shared" si="25"/>
        <v>623</v>
      </c>
      <c r="Y47" s="18">
        <f t="shared" si="25"/>
        <v>78</v>
      </c>
      <c r="Z47" s="18">
        <f t="shared" si="25"/>
        <v>574</v>
      </c>
      <c r="AA47" s="18">
        <f t="shared" si="25"/>
        <v>701</v>
      </c>
      <c r="AB47" s="18">
        <f t="shared" si="25"/>
        <v>832</v>
      </c>
      <c r="AC47" s="18" t="str">
        <f t="shared" si="25"/>
        <v/>
      </c>
      <c r="AD47" s="18" t="str">
        <f t="shared" si="25"/>
        <v/>
      </c>
      <c r="AE47" s="18" t="str">
        <f t="shared" si="25"/>
        <v/>
      </c>
      <c r="AF47" s="18" t="str">
        <f t="shared" si="25"/>
        <v/>
      </c>
      <c r="AG47" s="18" t="str">
        <f t="shared" si="25"/>
        <v/>
      </c>
      <c r="AH47" s="18" t="str">
        <f t="shared" si="25"/>
        <v/>
      </c>
      <c r="AI47" s="18" t="str">
        <f t="shared" si="25"/>
        <v/>
      </c>
      <c r="AJ47" s="18" t="str">
        <f t="shared" si="25"/>
        <v/>
      </c>
      <c r="AK47" s="18" t="str">
        <f t="shared" si="25"/>
        <v/>
      </c>
      <c r="AL47" s="18" t="str">
        <f t="shared" si="25"/>
        <v/>
      </c>
      <c r="AM47" s="18" t="str">
        <f t="shared" si="25"/>
        <v/>
      </c>
      <c r="AN47" s="18" t="str">
        <f t="shared" si="25"/>
        <v/>
      </c>
      <c r="AO47" s="18" t="str">
        <f t="shared" si="25"/>
        <v/>
      </c>
      <c r="AP47" s="18" t="str">
        <f t="shared" si="25"/>
        <v/>
      </c>
      <c r="AQ47" s="18" t="str">
        <f t="shared" si="23"/>
        <v/>
      </c>
      <c r="AR47" s="18" t="str">
        <f t="shared" si="23"/>
        <v/>
      </c>
      <c r="AS47" s="18" t="str">
        <f t="shared" si="23"/>
        <v/>
      </c>
      <c r="AT47" s="18" t="str">
        <f t="shared" si="23"/>
        <v/>
      </c>
      <c r="AU47" s="18" t="str">
        <f t="shared" si="23"/>
        <v/>
      </c>
      <c r="AV47" s="18" t="str">
        <f t="shared" si="23"/>
        <v/>
      </c>
      <c r="AW47" s="18" t="str">
        <f t="shared" si="23"/>
        <v/>
      </c>
      <c r="AX47" s="18" t="str">
        <f t="shared" si="23"/>
        <v/>
      </c>
      <c r="AY47" s="18" t="str">
        <f t="shared" si="23"/>
        <v/>
      </c>
      <c r="AZ47" s="18" t="str">
        <f t="shared" si="23"/>
        <v/>
      </c>
      <c r="BA47" s="18" t="str">
        <f t="shared" si="23"/>
        <v/>
      </c>
      <c r="BB47" s="18" t="str">
        <f t="shared" si="23"/>
        <v/>
      </c>
      <c r="BC47" s="18" t="str">
        <f t="shared" si="23"/>
        <v/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49"/>
      <c r="BO47" s="74">
        <f t="shared" si="24"/>
        <v>832</v>
      </c>
      <c r="BP47" s="75"/>
      <c r="BQ47" s="76"/>
      <c r="BS47" s="51">
        <f t="shared" si="21"/>
        <v>832</v>
      </c>
    </row>
    <row r="48" spans="1:74" x14ac:dyDescent="0.15">
      <c r="A48" s="19" t="s">
        <v>93</v>
      </c>
      <c r="B48" s="72"/>
      <c r="C48" s="73"/>
      <c r="D48" s="48">
        <f t="shared" si="22"/>
        <v>270</v>
      </c>
      <c r="E48" s="48">
        <f t="shared" si="22"/>
        <v>270</v>
      </c>
      <c r="F48" s="48">
        <f t="shared" si="22"/>
        <v>692</v>
      </c>
      <c r="G48" s="48">
        <f t="shared" si="18"/>
        <v>658</v>
      </c>
      <c r="H48" s="48">
        <f t="shared" si="18"/>
        <v>658</v>
      </c>
      <c r="I48" s="48">
        <f t="shared" si="18"/>
        <v>505</v>
      </c>
      <c r="J48" s="48">
        <f t="shared" si="19"/>
        <v>801</v>
      </c>
      <c r="K48" s="48">
        <f t="shared" si="19"/>
        <v>801</v>
      </c>
      <c r="L48" s="48">
        <f t="shared" si="19"/>
        <v>454</v>
      </c>
      <c r="M48" s="48">
        <f t="shared" si="19"/>
        <v>454</v>
      </c>
      <c r="N48" s="54">
        <f t="shared" si="26"/>
        <v>454</v>
      </c>
      <c r="O48" s="54">
        <f t="shared" si="26"/>
        <v>454</v>
      </c>
      <c r="P48" s="54">
        <f t="shared" si="26"/>
        <v>452</v>
      </c>
      <c r="Q48" s="54">
        <f t="shared" si="26"/>
        <v>452</v>
      </c>
      <c r="R48" s="54">
        <f t="shared" si="26"/>
        <v>452</v>
      </c>
      <c r="S48" s="54">
        <f t="shared" si="26"/>
        <v>452</v>
      </c>
      <c r="T48" s="18">
        <f t="shared" si="26"/>
        <v>1250</v>
      </c>
      <c r="U48" s="18">
        <f t="shared" si="26"/>
        <v>643</v>
      </c>
      <c r="V48" s="18">
        <f t="shared" si="26"/>
        <v>643</v>
      </c>
      <c r="W48" s="18">
        <f t="shared" si="26"/>
        <v>643</v>
      </c>
      <c r="X48" s="18">
        <f t="shared" si="25"/>
        <v>646</v>
      </c>
      <c r="Y48" s="18">
        <f t="shared" si="25"/>
        <v>480</v>
      </c>
      <c r="Z48" s="18">
        <f t="shared" si="25"/>
        <v>480</v>
      </c>
      <c r="AA48" s="18">
        <f t="shared" si="25"/>
        <v>480</v>
      </c>
      <c r="AB48" s="18">
        <f t="shared" si="25"/>
        <v>891</v>
      </c>
      <c r="AC48" s="18" t="str">
        <f t="shared" si="25"/>
        <v/>
      </c>
      <c r="AD48" s="18" t="str">
        <f t="shared" si="25"/>
        <v/>
      </c>
      <c r="AE48" s="18" t="str">
        <f t="shared" si="25"/>
        <v/>
      </c>
      <c r="AF48" s="18" t="str">
        <f t="shared" si="25"/>
        <v/>
      </c>
      <c r="AG48" s="18" t="str">
        <f t="shared" si="25"/>
        <v/>
      </c>
      <c r="AH48" s="18" t="str">
        <f t="shared" si="25"/>
        <v/>
      </c>
      <c r="AI48" s="18" t="str">
        <f t="shared" si="25"/>
        <v/>
      </c>
      <c r="AJ48" s="18" t="str">
        <f t="shared" si="25"/>
        <v/>
      </c>
      <c r="AK48" s="18" t="str">
        <f t="shared" si="25"/>
        <v/>
      </c>
      <c r="AL48" s="18" t="str">
        <f t="shared" si="25"/>
        <v/>
      </c>
      <c r="AM48" s="18" t="str">
        <f t="shared" si="25"/>
        <v/>
      </c>
      <c r="AN48" s="18" t="str">
        <f t="shared" si="25"/>
        <v/>
      </c>
      <c r="AO48" s="18" t="str">
        <f t="shared" si="25"/>
        <v/>
      </c>
      <c r="AP48" s="18" t="str">
        <f t="shared" si="25"/>
        <v/>
      </c>
      <c r="AQ48" s="18" t="str">
        <f t="shared" si="23"/>
        <v/>
      </c>
      <c r="AR48" s="18" t="str">
        <f t="shared" si="23"/>
        <v/>
      </c>
      <c r="AS48" s="18" t="str">
        <f t="shared" si="23"/>
        <v/>
      </c>
      <c r="AT48" s="18" t="str">
        <f t="shared" si="23"/>
        <v/>
      </c>
      <c r="AU48" s="18" t="str">
        <f t="shared" si="23"/>
        <v/>
      </c>
      <c r="AV48" s="18" t="str">
        <f t="shared" si="23"/>
        <v/>
      </c>
      <c r="AW48" s="18" t="str">
        <f t="shared" si="23"/>
        <v/>
      </c>
      <c r="AX48" s="18" t="str">
        <f t="shared" si="23"/>
        <v/>
      </c>
      <c r="AY48" s="18" t="str">
        <f t="shared" si="23"/>
        <v/>
      </c>
      <c r="AZ48" s="18" t="str">
        <f t="shared" si="23"/>
        <v/>
      </c>
      <c r="BA48" s="18" t="str">
        <f t="shared" si="23"/>
        <v/>
      </c>
      <c r="BB48" s="18" t="str">
        <f t="shared" si="23"/>
        <v/>
      </c>
      <c r="BC48" s="18" t="str">
        <f t="shared" si="23"/>
        <v/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49"/>
      <c r="BO48" s="74">
        <f t="shared" si="24"/>
        <v>1250</v>
      </c>
      <c r="BP48" s="75"/>
      <c r="BQ48" s="76"/>
      <c r="BS48" s="51">
        <f t="shared" si="21"/>
        <v>1250</v>
      </c>
    </row>
    <row r="49" spans="1:77" x14ac:dyDescent="0.15">
      <c r="A49" s="19" t="s">
        <v>96</v>
      </c>
      <c r="B49" s="72"/>
      <c r="C49" s="73"/>
      <c r="D49" s="48">
        <f t="shared" si="22"/>
        <v>164</v>
      </c>
      <c r="E49" s="48">
        <f t="shared" si="22"/>
        <v>235</v>
      </c>
      <c r="F49" s="48">
        <f t="shared" si="22"/>
        <v>130</v>
      </c>
      <c r="G49" s="48" t="str">
        <f t="shared" si="18"/>
        <v/>
      </c>
      <c r="H49" s="48">
        <f t="shared" si="18"/>
        <v>1164</v>
      </c>
      <c r="I49" s="48">
        <f t="shared" si="18"/>
        <v>147</v>
      </c>
      <c r="J49" s="48">
        <f t="shared" si="19"/>
        <v>147</v>
      </c>
      <c r="K49" s="48">
        <f t="shared" si="19"/>
        <v>154</v>
      </c>
      <c r="L49" s="48">
        <f t="shared" si="19"/>
        <v>203.5</v>
      </c>
      <c r="M49" s="48">
        <f t="shared" si="19"/>
        <v>203.5</v>
      </c>
      <c r="N49" s="54">
        <f t="shared" si="26"/>
        <v>296</v>
      </c>
      <c r="O49" s="54">
        <f t="shared" si="26"/>
        <v>71</v>
      </c>
      <c r="P49" s="54">
        <f t="shared" si="26"/>
        <v>164</v>
      </c>
      <c r="Q49" s="54">
        <f t="shared" si="26"/>
        <v>164</v>
      </c>
      <c r="R49" s="54">
        <f t="shared" si="26"/>
        <v>165</v>
      </c>
      <c r="S49" s="54">
        <f t="shared" si="26"/>
        <v>401</v>
      </c>
      <c r="T49" s="18">
        <f t="shared" si="26"/>
        <v>244</v>
      </c>
      <c r="U49" s="18">
        <f t="shared" si="26"/>
        <v>220</v>
      </c>
      <c r="V49" s="18">
        <f t="shared" si="26"/>
        <v>177</v>
      </c>
      <c r="W49" s="18">
        <f t="shared" si="26"/>
        <v>267</v>
      </c>
      <c r="X49" s="18">
        <f t="shared" si="25"/>
        <v>523</v>
      </c>
      <c r="Y49" s="18">
        <f t="shared" si="25"/>
        <v>172</v>
      </c>
      <c r="Z49" s="18">
        <f t="shared" si="25"/>
        <v>118</v>
      </c>
      <c r="AA49" s="18">
        <f t="shared" si="25"/>
        <v>168</v>
      </c>
      <c r="AB49" s="18">
        <f t="shared" si="25"/>
        <v>165</v>
      </c>
      <c r="AC49" s="18" t="str">
        <f t="shared" si="25"/>
        <v/>
      </c>
      <c r="AD49" s="18" t="str">
        <f t="shared" si="25"/>
        <v/>
      </c>
      <c r="AE49" s="18" t="str">
        <f t="shared" si="25"/>
        <v/>
      </c>
      <c r="AF49" s="18" t="str">
        <f t="shared" si="25"/>
        <v/>
      </c>
      <c r="AG49" s="18" t="str">
        <f t="shared" si="25"/>
        <v/>
      </c>
      <c r="AH49" s="18" t="str">
        <f t="shared" si="25"/>
        <v/>
      </c>
      <c r="AI49" s="18" t="str">
        <f t="shared" si="25"/>
        <v/>
      </c>
      <c r="AJ49" s="18" t="str">
        <f t="shared" si="25"/>
        <v/>
      </c>
      <c r="AK49" s="18" t="str">
        <f t="shared" si="25"/>
        <v/>
      </c>
      <c r="AL49" s="18" t="str">
        <f t="shared" si="25"/>
        <v/>
      </c>
      <c r="AM49" s="18" t="str">
        <f t="shared" si="25"/>
        <v/>
      </c>
      <c r="AN49" s="18" t="str">
        <f t="shared" si="25"/>
        <v/>
      </c>
      <c r="AO49" s="18" t="str">
        <f t="shared" si="25"/>
        <v/>
      </c>
      <c r="AP49" s="18" t="str">
        <f t="shared" si="25"/>
        <v/>
      </c>
      <c r="AQ49" s="18" t="str">
        <f t="shared" si="23"/>
        <v/>
      </c>
      <c r="AR49" s="18" t="str">
        <f t="shared" si="23"/>
        <v/>
      </c>
      <c r="AS49" s="18" t="str">
        <f t="shared" si="23"/>
        <v/>
      </c>
      <c r="AT49" s="18" t="str">
        <f t="shared" si="23"/>
        <v/>
      </c>
      <c r="AU49" s="18" t="str">
        <f t="shared" si="23"/>
        <v/>
      </c>
      <c r="AV49" s="18" t="str">
        <f t="shared" si="23"/>
        <v/>
      </c>
      <c r="AW49" s="18" t="str">
        <f t="shared" si="23"/>
        <v/>
      </c>
      <c r="AX49" s="18" t="str">
        <f t="shared" si="23"/>
        <v/>
      </c>
      <c r="AY49" s="18" t="str">
        <f t="shared" si="23"/>
        <v/>
      </c>
      <c r="AZ49" s="18" t="str">
        <f t="shared" si="23"/>
        <v/>
      </c>
      <c r="BA49" s="18" t="str">
        <f t="shared" si="23"/>
        <v/>
      </c>
      <c r="BB49" s="18" t="str">
        <f t="shared" si="23"/>
        <v/>
      </c>
      <c r="BC49" s="18" t="str">
        <f t="shared" si="23"/>
        <v/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49"/>
      <c r="BO49" s="74">
        <f t="shared" si="24"/>
        <v>523</v>
      </c>
      <c r="BP49" s="75"/>
      <c r="BQ49" s="76"/>
      <c r="BS49" s="51">
        <f t="shared" si="21"/>
        <v>523</v>
      </c>
    </row>
    <row r="50" spans="1:77" x14ac:dyDescent="0.15">
      <c r="A50" s="19" t="s">
        <v>99</v>
      </c>
      <c r="B50" s="72"/>
      <c r="C50" s="73"/>
      <c r="D50" s="48">
        <f t="shared" si="22"/>
        <v>1054</v>
      </c>
      <c r="E50" s="48">
        <f t="shared" si="22"/>
        <v>772</v>
      </c>
      <c r="F50" s="48">
        <f t="shared" si="22"/>
        <v>709</v>
      </c>
      <c r="G50" s="48">
        <f t="shared" si="18"/>
        <v>1058</v>
      </c>
      <c r="H50" s="48">
        <f t="shared" si="18"/>
        <v>541</v>
      </c>
      <c r="I50" s="48">
        <f t="shared" si="18"/>
        <v>541</v>
      </c>
      <c r="J50" s="48">
        <f t="shared" si="19"/>
        <v>1312</v>
      </c>
      <c r="K50" s="48">
        <f t="shared" si="19"/>
        <v>888</v>
      </c>
      <c r="L50" s="48">
        <f t="shared" si="19"/>
        <v>880</v>
      </c>
      <c r="M50" s="48">
        <f t="shared" si="19"/>
        <v>880</v>
      </c>
      <c r="N50" s="54">
        <f t="shared" si="26"/>
        <v>800</v>
      </c>
      <c r="O50" s="54">
        <f t="shared" si="26"/>
        <v>14</v>
      </c>
      <c r="P50" s="54">
        <f t="shared" si="26"/>
        <v>546</v>
      </c>
      <c r="Q50" s="54">
        <f t="shared" si="26"/>
        <v>546</v>
      </c>
      <c r="R50" s="54">
        <f t="shared" si="26"/>
        <v>547</v>
      </c>
      <c r="S50" s="54">
        <f t="shared" si="26"/>
        <v>892</v>
      </c>
      <c r="T50" s="18">
        <f t="shared" si="26"/>
        <v>880</v>
      </c>
      <c r="U50" s="18">
        <f t="shared" si="26"/>
        <v>822.5</v>
      </c>
      <c r="V50" s="18">
        <f t="shared" si="26"/>
        <v>822.5</v>
      </c>
      <c r="W50" s="18">
        <f t="shared" si="26"/>
        <v>932</v>
      </c>
      <c r="X50" s="18">
        <f t="shared" si="25"/>
        <v>966</v>
      </c>
      <c r="Y50" s="18">
        <f t="shared" si="25"/>
        <v>760</v>
      </c>
      <c r="Z50" s="18">
        <f t="shared" si="25"/>
        <v>971</v>
      </c>
      <c r="AA50" s="18">
        <f t="shared" si="25"/>
        <v>1091</v>
      </c>
      <c r="AB50" s="18">
        <f t="shared" si="25"/>
        <v>1091</v>
      </c>
      <c r="AC50" s="18" t="str">
        <f t="shared" si="25"/>
        <v/>
      </c>
      <c r="AD50" s="18" t="str">
        <f t="shared" si="25"/>
        <v/>
      </c>
      <c r="AE50" s="18" t="str">
        <f t="shared" si="25"/>
        <v/>
      </c>
      <c r="AF50" s="18" t="str">
        <f t="shared" si="25"/>
        <v/>
      </c>
      <c r="AG50" s="18" t="str">
        <f t="shared" si="25"/>
        <v/>
      </c>
      <c r="AH50" s="18" t="str">
        <f t="shared" si="25"/>
        <v/>
      </c>
      <c r="AI50" s="18" t="str">
        <f t="shared" si="25"/>
        <v/>
      </c>
      <c r="AJ50" s="18" t="str">
        <f t="shared" si="25"/>
        <v/>
      </c>
      <c r="AK50" s="18" t="str">
        <f t="shared" si="25"/>
        <v/>
      </c>
      <c r="AL50" s="18" t="str">
        <f t="shared" si="25"/>
        <v/>
      </c>
      <c r="AM50" s="18" t="str">
        <f t="shared" si="25"/>
        <v/>
      </c>
      <c r="AN50" s="18" t="str">
        <f t="shared" si="25"/>
        <v/>
      </c>
      <c r="AO50" s="18" t="str">
        <f t="shared" si="25"/>
        <v/>
      </c>
      <c r="AP50" s="18" t="str">
        <f t="shared" si="25"/>
        <v/>
      </c>
      <c r="AQ50" s="18" t="str">
        <f t="shared" si="23"/>
        <v/>
      </c>
      <c r="AR50" s="18" t="str">
        <f t="shared" si="23"/>
        <v/>
      </c>
      <c r="AS50" s="18" t="str">
        <f t="shared" si="23"/>
        <v/>
      </c>
      <c r="AT50" s="18" t="str">
        <f t="shared" si="23"/>
        <v/>
      </c>
      <c r="AU50" s="18" t="str">
        <f t="shared" si="23"/>
        <v/>
      </c>
      <c r="AV50" s="18" t="str">
        <f t="shared" si="23"/>
        <v/>
      </c>
      <c r="AW50" s="18" t="str">
        <f t="shared" si="23"/>
        <v/>
      </c>
      <c r="AX50" s="18" t="str">
        <f t="shared" si="23"/>
        <v/>
      </c>
      <c r="AY50" s="18" t="str">
        <f t="shared" si="23"/>
        <v/>
      </c>
      <c r="AZ50" s="18" t="str">
        <f t="shared" si="23"/>
        <v/>
      </c>
      <c r="BA50" s="18" t="str">
        <f t="shared" si="23"/>
        <v/>
      </c>
      <c r="BB50" s="18" t="str">
        <f t="shared" si="23"/>
        <v/>
      </c>
      <c r="BC50" s="18" t="str">
        <f t="shared" si="23"/>
        <v/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49"/>
      <c r="BO50" s="74">
        <f t="shared" si="24"/>
        <v>1091</v>
      </c>
      <c r="BP50" s="75"/>
      <c r="BQ50" s="76"/>
      <c r="BS50" s="51">
        <f t="shared" si="21"/>
        <v>1091</v>
      </c>
    </row>
    <row r="51" spans="1:77" x14ac:dyDescent="0.15">
      <c r="A51" s="19" t="s">
        <v>103</v>
      </c>
      <c r="B51" s="72"/>
      <c r="C51" s="73"/>
      <c r="D51" s="48">
        <f t="shared" si="22"/>
        <v>207</v>
      </c>
      <c r="E51" s="48">
        <f t="shared" si="22"/>
        <v>319</v>
      </c>
      <c r="F51" s="48">
        <f t="shared" si="22"/>
        <v>296</v>
      </c>
      <c r="G51" s="48">
        <f t="shared" si="22"/>
        <v>223</v>
      </c>
      <c r="H51" s="48">
        <f t="shared" si="22"/>
        <v>260</v>
      </c>
      <c r="I51" s="48">
        <f t="shared" si="22"/>
        <v>382</v>
      </c>
      <c r="J51" s="48">
        <f t="shared" si="22"/>
        <v>285</v>
      </c>
      <c r="K51" s="48">
        <f t="shared" si="22"/>
        <v>285</v>
      </c>
      <c r="L51" s="48">
        <f t="shared" si="22"/>
        <v>254.5</v>
      </c>
      <c r="M51" s="48">
        <f t="shared" si="22"/>
        <v>254.5</v>
      </c>
      <c r="N51" s="54">
        <f t="shared" si="26"/>
        <v>211</v>
      </c>
      <c r="O51" s="54">
        <f t="shared" si="26"/>
        <v>488</v>
      </c>
      <c r="P51" s="54">
        <f t="shared" si="26"/>
        <v>280</v>
      </c>
      <c r="Q51" s="54">
        <f t="shared" si="26"/>
        <v>280</v>
      </c>
      <c r="R51" s="54">
        <f t="shared" si="26"/>
        <v>280</v>
      </c>
      <c r="S51" s="54">
        <f t="shared" si="26"/>
        <v>321</v>
      </c>
      <c r="T51" s="18">
        <f t="shared" si="26"/>
        <v>250</v>
      </c>
      <c r="U51" s="18">
        <f t="shared" si="26"/>
        <v>256.5</v>
      </c>
      <c r="V51" s="18">
        <f t="shared" si="26"/>
        <v>256.5</v>
      </c>
      <c r="W51" s="18">
        <f t="shared" si="26"/>
        <v>829</v>
      </c>
      <c r="X51" s="18" t="str">
        <f t="shared" si="25"/>
        <v/>
      </c>
      <c r="Y51" s="18">
        <f t="shared" si="25"/>
        <v>169</v>
      </c>
      <c r="Z51" s="18">
        <f t="shared" si="25"/>
        <v>224</v>
      </c>
      <c r="AA51" s="18">
        <f t="shared" si="25"/>
        <v>254</v>
      </c>
      <c r="AB51" s="18">
        <f t="shared" si="25"/>
        <v>168</v>
      </c>
      <c r="AC51" s="18" t="str">
        <f t="shared" si="25"/>
        <v/>
      </c>
      <c r="AD51" s="18" t="str">
        <f t="shared" si="25"/>
        <v/>
      </c>
      <c r="AE51" s="18" t="str">
        <f t="shared" si="25"/>
        <v/>
      </c>
      <c r="AF51" s="18" t="str">
        <f t="shared" si="25"/>
        <v/>
      </c>
      <c r="AG51" s="18" t="str">
        <f t="shared" si="25"/>
        <v/>
      </c>
      <c r="AH51" s="18" t="str">
        <f t="shared" si="25"/>
        <v/>
      </c>
      <c r="AI51" s="18" t="str">
        <f t="shared" si="25"/>
        <v/>
      </c>
      <c r="AJ51" s="18" t="str">
        <f t="shared" si="25"/>
        <v/>
      </c>
      <c r="AK51" s="18" t="str">
        <f t="shared" si="25"/>
        <v/>
      </c>
      <c r="AL51" s="18" t="str">
        <f t="shared" si="25"/>
        <v/>
      </c>
      <c r="AM51" s="18" t="str">
        <f t="shared" si="25"/>
        <v/>
      </c>
      <c r="AN51" s="18" t="str">
        <f t="shared" si="25"/>
        <v/>
      </c>
      <c r="AO51" s="18" t="str">
        <f t="shared" si="25"/>
        <v/>
      </c>
      <c r="AP51" s="18" t="str">
        <f t="shared" si="25"/>
        <v/>
      </c>
      <c r="AQ51" s="18" t="str">
        <f t="shared" si="23"/>
        <v/>
      </c>
      <c r="AR51" s="18" t="str">
        <f t="shared" si="23"/>
        <v/>
      </c>
      <c r="AS51" s="18" t="str">
        <f t="shared" si="23"/>
        <v/>
      </c>
      <c r="AT51" s="18" t="str">
        <f t="shared" si="23"/>
        <v/>
      </c>
      <c r="AU51" s="18" t="str">
        <f t="shared" si="23"/>
        <v/>
      </c>
      <c r="AV51" s="18" t="str">
        <f t="shared" si="23"/>
        <v/>
      </c>
      <c r="AW51" s="18" t="str">
        <f t="shared" si="23"/>
        <v/>
      </c>
      <c r="AX51" s="18" t="str">
        <f t="shared" si="23"/>
        <v/>
      </c>
      <c r="AY51" s="18" t="str">
        <f t="shared" si="23"/>
        <v/>
      </c>
      <c r="AZ51" s="18" t="str">
        <f t="shared" si="23"/>
        <v/>
      </c>
      <c r="BA51" s="18" t="str">
        <f t="shared" si="23"/>
        <v/>
      </c>
      <c r="BB51" s="18" t="str">
        <f t="shared" si="23"/>
        <v/>
      </c>
      <c r="BC51" s="18" t="str">
        <f t="shared" si="23"/>
        <v/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49"/>
      <c r="BO51" s="74">
        <f t="shared" si="24"/>
        <v>829</v>
      </c>
      <c r="BP51" s="75"/>
      <c r="BQ51" s="76"/>
      <c r="BS51" s="51">
        <f t="shared" si="21"/>
        <v>829</v>
      </c>
    </row>
    <row r="52" spans="1:77" x14ac:dyDescent="0.15">
      <c r="A52" s="19" t="s">
        <v>106</v>
      </c>
      <c r="B52" s="72"/>
      <c r="C52" s="73"/>
      <c r="D52" s="48">
        <f t="shared" ref="D52:M57" si="27">IF(D25-C25&gt;0,D25-C25,"")</f>
        <v>635</v>
      </c>
      <c r="E52" s="48">
        <f t="shared" si="27"/>
        <v>600</v>
      </c>
      <c r="F52" s="48">
        <f t="shared" si="27"/>
        <v>1035</v>
      </c>
      <c r="G52" s="48">
        <f t="shared" si="27"/>
        <v>811</v>
      </c>
      <c r="H52" s="48">
        <f t="shared" si="27"/>
        <v>286</v>
      </c>
      <c r="I52" s="48">
        <f t="shared" si="27"/>
        <v>559</v>
      </c>
      <c r="J52" s="48">
        <f t="shared" si="27"/>
        <v>769.5</v>
      </c>
      <c r="K52" s="48">
        <f t="shared" si="27"/>
        <v>769.5</v>
      </c>
      <c r="L52" s="48">
        <f t="shared" si="27"/>
        <v>620</v>
      </c>
      <c r="M52" s="48">
        <f t="shared" si="27"/>
        <v>620</v>
      </c>
      <c r="N52" s="54">
        <f t="shared" si="26"/>
        <v>821</v>
      </c>
      <c r="O52" s="54">
        <f t="shared" si="26"/>
        <v>756</v>
      </c>
      <c r="P52" s="54">
        <f t="shared" si="26"/>
        <v>579</v>
      </c>
      <c r="Q52" s="54">
        <f t="shared" si="26"/>
        <v>579</v>
      </c>
      <c r="R52" s="54">
        <f t="shared" si="26"/>
        <v>579</v>
      </c>
      <c r="S52" s="54">
        <f t="shared" si="26"/>
        <v>802</v>
      </c>
      <c r="T52" s="18">
        <f t="shared" si="26"/>
        <v>850</v>
      </c>
      <c r="U52" s="18">
        <f t="shared" si="26"/>
        <v>699</v>
      </c>
      <c r="V52" s="18">
        <f t="shared" si="26"/>
        <v>887</v>
      </c>
      <c r="W52" s="18">
        <f t="shared" si="26"/>
        <v>717</v>
      </c>
      <c r="X52" s="18">
        <f t="shared" si="25"/>
        <v>919</v>
      </c>
      <c r="Y52" s="18">
        <f t="shared" si="25"/>
        <v>890</v>
      </c>
      <c r="Z52" s="18">
        <f t="shared" si="25"/>
        <v>850</v>
      </c>
      <c r="AA52" s="18">
        <f t="shared" si="25"/>
        <v>721</v>
      </c>
      <c r="AB52" s="18">
        <f t="shared" si="25"/>
        <v>401</v>
      </c>
      <c r="AC52" s="18" t="str">
        <f t="shared" si="25"/>
        <v/>
      </c>
      <c r="AD52" s="18" t="str">
        <f t="shared" si="25"/>
        <v/>
      </c>
      <c r="AE52" s="18" t="str">
        <f t="shared" si="25"/>
        <v/>
      </c>
      <c r="AF52" s="18" t="str">
        <f t="shared" si="25"/>
        <v/>
      </c>
      <c r="AG52" s="18" t="str">
        <f t="shared" si="25"/>
        <v/>
      </c>
      <c r="AH52" s="18" t="str">
        <f t="shared" si="25"/>
        <v/>
      </c>
      <c r="AI52" s="18" t="str">
        <f t="shared" si="25"/>
        <v/>
      </c>
      <c r="AJ52" s="18" t="str">
        <f t="shared" si="25"/>
        <v/>
      </c>
      <c r="AK52" s="18" t="str">
        <f t="shared" si="25"/>
        <v/>
      </c>
      <c r="AL52" s="18" t="str">
        <f t="shared" si="25"/>
        <v/>
      </c>
      <c r="AM52" s="18" t="str">
        <f t="shared" si="25"/>
        <v/>
      </c>
      <c r="AN52" s="18" t="str">
        <f t="shared" si="25"/>
        <v/>
      </c>
      <c r="AO52" s="18" t="str">
        <f t="shared" si="25"/>
        <v/>
      </c>
      <c r="AP52" s="18" t="str">
        <f t="shared" si="25"/>
        <v/>
      </c>
      <c r="AQ52" s="18" t="str">
        <f t="shared" ref="AQ52:BC54" si="28">IF(AR26-AQ26&gt;0,AR26-AQ26,"")</f>
        <v/>
      </c>
      <c r="AR52" s="18" t="str">
        <f t="shared" si="28"/>
        <v/>
      </c>
      <c r="AS52" s="18" t="str">
        <f t="shared" si="28"/>
        <v/>
      </c>
      <c r="AT52" s="18" t="str">
        <f t="shared" si="28"/>
        <v/>
      </c>
      <c r="AU52" s="18" t="str">
        <f t="shared" si="28"/>
        <v/>
      </c>
      <c r="AV52" s="18" t="str">
        <f t="shared" si="28"/>
        <v/>
      </c>
      <c r="AW52" s="18" t="str">
        <f t="shared" si="28"/>
        <v/>
      </c>
      <c r="AX52" s="18" t="str">
        <f t="shared" si="28"/>
        <v/>
      </c>
      <c r="AY52" s="18" t="str">
        <f t="shared" si="28"/>
        <v/>
      </c>
      <c r="AZ52" s="18" t="str">
        <f t="shared" si="28"/>
        <v/>
      </c>
      <c r="BA52" s="18" t="str">
        <f t="shared" si="28"/>
        <v/>
      </c>
      <c r="BB52" s="18" t="str">
        <f t="shared" si="28"/>
        <v/>
      </c>
      <c r="BC52" s="18" t="str">
        <f t="shared" si="28"/>
        <v/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49"/>
      <c r="BO52" s="74">
        <f t="shared" si="24"/>
        <v>919</v>
      </c>
      <c r="BP52" s="75"/>
      <c r="BQ52" s="76"/>
      <c r="BS52" s="51">
        <f t="shared" si="21"/>
        <v>919</v>
      </c>
    </row>
    <row r="53" spans="1:77" x14ac:dyDescent="0.15">
      <c r="A53" s="19" t="s">
        <v>137</v>
      </c>
      <c r="B53" s="77"/>
      <c r="C53" s="78"/>
      <c r="D53" s="48">
        <f t="shared" si="27"/>
        <v>770</v>
      </c>
      <c r="E53" s="48">
        <f t="shared" si="27"/>
        <v>484</v>
      </c>
      <c r="F53" s="48">
        <f t="shared" si="27"/>
        <v>497</v>
      </c>
      <c r="G53" s="48">
        <f t="shared" si="27"/>
        <v>452</v>
      </c>
      <c r="H53" s="48">
        <f t="shared" si="27"/>
        <v>452</v>
      </c>
      <c r="I53" s="48">
        <f t="shared" si="27"/>
        <v>452</v>
      </c>
      <c r="J53" s="48">
        <f t="shared" si="27"/>
        <v>452</v>
      </c>
      <c r="K53" s="48">
        <f t="shared" si="27"/>
        <v>452</v>
      </c>
      <c r="L53" s="48">
        <f t="shared" si="27"/>
        <v>420</v>
      </c>
      <c r="M53" s="48">
        <f t="shared" si="27"/>
        <v>420</v>
      </c>
      <c r="N53" s="54">
        <f t="shared" si="26"/>
        <v>420</v>
      </c>
      <c r="O53" s="54">
        <f t="shared" si="26"/>
        <v>420</v>
      </c>
      <c r="P53" s="54">
        <f t="shared" si="26"/>
        <v>420</v>
      </c>
      <c r="Q53" s="54" t="str">
        <f t="shared" si="26"/>
        <v/>
      </c>
      <c r="R53" s="54">
        <f t="shared" si="26"/>
        <v>440</v>
      </c>
      <c r="S53" s="54">
        <f t="shared" si="26"/>
        <v>440</v>
      </c>
      <c r="T53" s="18">
        <f t="shared" si="26"/>
        <v>440</v>
      </c>
      <c r="U53" s="18">
        <f t="shared" si="26"/>
        <v>440</v>
      </c>
      <c r="V53" s="18">
        <f t="shared" si="26"/>
        <v>440</v>
      </c>
      <c r="W53" s="18">
        <f t="shared" si="26"/>
        <v>510</v>
      </c>
      <c r="X53" s="18">
        <f t="shared" si="25"/>
        <v>508</v>
      </c>
      <c r="Y53" s="18">
        <f t="shared" si="25"/>
        <v>448.5</v>
      </c>
      <c r="Z53" s="18">
        <f t="shared" si="25"/>
        <v>448.5</v>
      </c>
      <c r="AA53" s="18">
        <f t="shared" si="25"/>
        <v>698</v>
      </c>
      <c r="AB53" s="18">
        <f t="shared" si="25"/>
        <v>698</v>
      </c>
      <c r="AC53" s="18" t="str">
        <f t="shared" si="25"/>
        <v/>
      </c>
      <c r="AD53" s="18" t="str">
        <f t="shared" si="25"/>
        <v/>
      </c>
      <c r="AE53" s="18" t="str">
        <f t="shared" si="25"/>
        <v/>
      </c>
      <c r="AF53" s="18" t="str">
        <f t="shared" si="25"/>
        <v/>
      </c>
      <c r="AG53" s="18" t="str">
        <f t="shared" si="25"/>
        <v/>
      </c>
      <c r="AH53" s="18" t="str">
        <f t="shared" si="25"/>
        <v/>
      </c>
      <c r="AI53" s="18" t="str">
        <f t="shared" si="25"/>
        <v/>
      </c>
      <c r="AJ53" s="18" t="str">
        <f t="shared" si="25"/>
        <v/>
      </c>
      <c r="AK53" s="18" t="str">
        <f t="shared" si="25"/>
        <v/>
      </c>
      <c r="AL53" s="18" t="str">
        <f t="shared" si="25"/>
        <v/>
      </c>
      <c r="AM53" s="18" t="str">
        <f t="shared" si="25"/>
        <v/>
      </c>
      <c r="AN53" s="18" t="str">
        <f t="shared" si="25"/>
        <v/>
      </c>
      <c r="AO53" s="18" t="str">
        <f t="shared" si="25"/>
        <v/>
      </c>
      <c r="AP53" s="18" t="str">
        <f t="shared" si="25"/>
        <v/>
      </c>
      <c r="AQ53" s="18" t="str">
        <f t="shared" si="28"/>
        <v/>
      </c>
      <c r="AR53" s="18" t="str">
        <f t="shared" si="28"/>
        <v/>
      </c>
      <c r="AS53" s="18" t="str">
        <f t="shared" si="28"/>
        <v/>
      </c>
      <c r="AT53" s="18" t="str">
        <f t="shared" si="28"/>
        <v/>
      </c>
      <c r="AU53" s="18" t="str">
        <f t="shared" si="28"/>
        <v/>
      </c>
      <c r="AV53" s="18" t="str">
        <f t="shared" si="28"/>
        <v/>
      </c>
      <c r="AW53" s="18" t="str">
        <f t="shared" si="28"/>
        <v/>
      </c>
      <c r="AX53" s="18" t="str">
        <f t="shared" si="28"/>
        <v/>
      </c>
      <c r="AY53" s="18" t="str">
        <f t="shared" si="28"/>
        <v/>
      </c>
      <c r="AZ53" s="18" t="str">
        <f t="shared" si="28"/>
        <v/>
      </c>
      <c r="BA53" s="18" t="str">
        <f t="shared" si="28"/>
        <v/>
      </c>
      <c r="BB53" s="18" t="str">
        <f t="shared" si="28"/>
        <v/>
      </c>
      <c r="BC53" s="18" t="str">
        <f t="shared" si="28"/>
        <v/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49"/>
      <c r="BO53" s="74">
        <f t="shared" si="24"/>
        <v>698</v>
      </c>
      <c r="BP53" s="75"/>
      <c r="BQ53" s="76"/>
      <c r="BS53" s="51">
        <f t="shared" si="21"/>
        <v>698</v>
      </c>
    </row>
    <row r="54" spans="1:77" x14ac:dyDescent="0.15">
      <c r="A54" s="19" t="s">
        <v>112</v>
      </c>
      <c r="B54" s="78"/>
      <c r="C54" s="78"/>
      <c r="D54" s="48">
        <f t="shared" si="27"/>
        <v>1003</v>
      </c>
      <c r="E54" s="48">
        <f t="shared" si="27"/>
        <v>1299</v>
      </c>
      <c r="F54" s="48">
        <f t="shared" si="27"/>
        <v>1468</v>
      </c>
      <c r="G54" s="48">
        <f t="shared" si="27"/>
        <v>752</v>
      </c>
      <c r="H54" s="48">
        <f t="shared" si="27"/>
        <v>752</v>
      </c>
      <c r="I54" s="48">
        <f t="shared" si="27"/>
        <v>752</v>
      </c>
      <c r="J54" s="48">
        <f t="shared" si="27"/>
        <v>752</v>
      </c>
      <c r="K54" s="48">
        <f t="shared" si="27"/>
        <v>752</v>
      </c>
      <c r="L54" s="48">
        <f t="shared" si="27"/>
        <v>752</v>
      </c>
      <c r="M54" s="48">
        <f t="shared" si="27"/>
        <v>752</v>
      </c>
      <c r="N54" s="54">
        <f t="shared" si="26"/>
        <v>752</v>
      </c>
      <c r="O54" s="54">
        <f t="shared" si="26"/>
        <v>752</v>
      </c>
      <c r="P54" s="54">
        <f t="shared" si="26"/>
        <v>749</v>
      </c>
      <c r="Q54" s="54">
        <f t="shared" si="26"/>
        <v>69.5</v>
      </c>
      <c r="R54" s="54">
        <f t="shared" si="26"/>
        <v>69.5</v>
      </c>
      <c r="S54" s="54">
        <f t="shared" si="26"/>
        <v>1713</v>
      </c>
      <c r="T54" s="18">
        <f t="shared" si="26"/>
        <v>1200</v>
      </c>
      <c r="U54" s="18">
        <f t="shared" si="26"/>
        <v>854</v>
      </c>
      <c r="V54" s="18">
        <f t="shared" si="26"/>
        <v>854</v>
      </c>
      <c r="W54" s="18">
        <f t="shared" si="26"/>
        <v>1344</v>
      </c>
      <c r="X54" s="18">
        <f t="shared" si="25"/>
        <v>1544</v>
      </c>
      <c r="Y54" s="18">
        <f t="shared" si="25"/>
        <v>1151</v>
      </c>
      <c r="Z54" s="18">
        <f t="shared" si="25"/>
        <v>1076</v>
      </c>
      <c r="AA54" s="18">
        <f t="shared" si="25"/>
        <v>1090</v>
      </c>
      <c r="AB54" s="18">
        <f t="shared" si="25"/>
        <v>561</v>
      </c>
      <c r="AC54" s="18" t="str">
        <f t="shared" si="25"/>
        <v/>
      </c>
      <c r="AD54" s="18" t="str">
        <f t="shared" si="25"/>
        <v/>
      </c>
      <c r="AE54" s="18" t="str">
        <f t="shared" si="25"/>
        <v/>
      </c>
      <c r="AF54" s="18" t="str">
        <f t="shared" si="25"/>
        <v/>
      </c>
      <c r="AG54" s="18" t="str">
        <f t="shared" si="25"/>
        <v/>
      </c>
      <c r="AH54" s="18" t="str">
        <f t="shared" si="25"/>
        <v/>
      </c>
      <c r="AI54" s="18" t="str">
        <f t="shared" si="25"/>
        <v/>
      </c>
      <c r="AJ54" s="18" t="str">
        <f t="shared" si="25"/>
        <v/>
      </c>
      <c r="AK54" s="18" t="str">
        <f t="shared" si="25"/>
        <v/>
      </c>
      <c r="AL54" s="18" t="str">
        <f t="shared" si="25"/>
        <v/>
      </c>
      <c r="AM54" s="18" t="str">
        <f t="shared" si="25"/>
        <v/>
      </c>
      <c r="AN54" s="18" t="str">
        <f t="shared" si="25"/>
        <v/>
      </c>
      <c r="AO54" s="18" t="str">
        <f t="shared" si="25"/>
        <v/>
      </c>
      <c r="AP54" s="18" t="str">
        <f t="shared" si="25"/>
        <v/>
      </c>
      <c r="AQ54" s="18" t="str">
        <f t="shared" si="28"/>
        <v/>
      </c>
      <c r="AR54" s="18" t="str">
        <f t="shared" si="28"/>
        <v/>
      </c>
      <c r="AS54" s="18" t="str">
        <f t="shared" si="28"/>
        <v/>
      </c>
      <c r="AT54" s="18" t="str">
        <f t="shared" si="28"/>
        <v/>
      </c>
      <c r="AU54" s="18" t="str">
        <f t="shared" si="28"/>
        <v/>
      </c>
      <c r="AV54" s="18" t="str">
        <f t="shared" si="28"/>
        <v/>
      </c>
      <c r="AW54" s="18" t="str">
        <f t="shared" si="28"/>
        <v/>
      </c>
      <c r="AX54" s="18" t="str">
        <f t="shared" si="28"/>
        <v/>
      </c>
      <c r="AY54" s="18" t="str">
        <f t="shared" si="28"/>
        <v/>
      </c>
      <c r="AZ54" s="18" t="str">
        <f t="shared" si="28"/>
        <v/>
      </c>
      <c r="BA54" s="18" t="str">
        <f t="shared" si="28"/>
        <v/>
      </c>
      <c r="BB54" s="18" t="str">
        <f t="shared" si="28"/>
        <v/>
      </c>
      <c r="BC54" s="18" t="str">
        <f t="shared" si="28"/>
        <v/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49"/>
      <c r="BO54" s="74">
        <f t="shared" si="24"/>
        <v>1713</v>
      </c>
      <c r="BP54" s="75"/>
      <c r="BQ54" s="76"/>
      <c r="BS54" s="51">
        <f t="shared" si="21"/>
        <v>1713</v>
      </c>
    </row>
    <row r="55" spans="1:77" x14ac:dyDescent="0.15">
      <c r="A55" s="19" t="s">
        <v>117</v>
      </c>
      <c r="B55" s="78"/>
      <c r="C55" s="78"/>
      <c r="D55" s="48">
        <f t="shared" si="27"/>
        <v>620</v>
      </c>
      <c r="E55" s="48">
        <f t="shared" si="27"/>
        <v>491</v>
      </c>
      <c r="F55" s="48">
        <f t="shared" si="27"/>
        <v>507</v>
      </c>
      <c r="G55" s="48">
        <f t="shared" si="27"/>
        <v>461</v>
      </c>
      <c r="H55" s="48">
        <f t="shared" si="27"/>
        <v>170</v>
      </c>
      <c r="I55" s="48">
        <f t="shared" si="27"/>
        <v>1127</v>
      </c>
      <c r="J55" s="48">
        <f t="shared" si="27"/>
        <v>516.5</v>
      </c>
      <c r="K55" s="48">
        <f t="shared" si="27"/>
        <v>516.5</v>
      </c>
      <c r="L55" s="48" t="str">
        <f t="shared" si="27"/>
        <v/>
      </c>
      <c r="M55" s="48">
        <f t="shared" si="27"/>
        <v>613.5</v>
      </c>
      <c r="N55" s="54">
        <f t="shared" si="26"/>
        <v>522</v>
      </c>
      <c r="O55" s="54">
        <f t="shared" si="26"/>
        <v>598</v>
      </c>
      <c r="P55" s="54">
        <f t="shared" si="26"/>
        <v>536</v>
      </c>
      <c r="Q55" s="54">
        <f t="shared" si="26"/>
        <v>536</v>
      </c>
      <c r="R55" s="54">
        <f t="shared" si="26"/>
        <v>536</v>
      </c>
      <c r="S55" s="54">
        <f t="shared" si="26"/>
        <v>536</v>
      </c>
      <c r="T55" s="18">
        <f t="shared" si="26"/>
        <v>1019</v>
      </c>
      <c r="U55" s="18">
        <f t="shared" si="26"/>
        <v>567.5</v>
      </c>
      <c r="V55" s="18">
        <f t="shared" si="26"/>
        <v>567.5</v>
      </c>
      <c r="W55" s="18">
        <f t="shared" si="26"/>
        <v>601</v>
      </c>
      <c r="X55" s="18">
        <f t="shared" si="25"/>
        <v>392</v>
      </c>
      <c r="Y55" s="18">
        <f t="shared" si="25"/>
        <v>567</v>
      </c>
      <c r="Z55" s="18">
        <f t="shared" si="25"/>
        <v>189</v>
      </c>
      <c r="AA55" s="18">
        <f t="shared" si="25"/>
        <v>449</v>
      </c>
      <c r="AB55" s="18">
        <f t="shared" si="25"/>
        <v>333</v>
      </c>
      <c r="AC55" s="18" t="str">
        <f t="shared" si="25"/>
        <v/>
      </c>
      <c r="AD55" s="18" t="str">
        <f t="shared" si="25"/>
        <v/>
      </c>
      <c r="AE55" s="18" t="str">
        <f t="shared" si="25"/>
        <v/>
      </c>
      <c r="AF55" s="18" t="str">
        <f t="shared" si="25"/>
        <v/>
      </c>
      <c r="AG55" s="18" t="str">
        <f t="shared" si="25"/>
        <v/>
      </c>
      <c r="AH55" s="18" t="str">
        <f t="shared" si="25"/>
        <v/>
      </c>
      <c r="AI55" s="18" t="str">
        <f t="shared" si="25"/>
        <v/>
      </c>
      <c r="AJ55" s="18" t="str">
        <f t="shared" si="25"/>
        <v/>
      </c>
      <c r="AK55" s="18" t="str">
        <f t="shared" si="25"/>
        <v/>
      </c>
      <c r="AL55" s="18" t="str">
        <f t="shared" si="25"/>
        <v/>
      </c>
      <c r="AM55" s="18" t="str">
        <f t="shared" si="25"/>
        <v/>
      </c>
      <c r="AN55" s="18" t="str">
        <f t="shared" si="25"/>
        <v/>
      </c>
      <c r="AO55" s="18" t="str">
        <f t="shared" si="25"/>
        <v/>
      </c>
      <c r="AP55" s="18" t="str">
        <f t="shared" si="25"/>
        <v/>
      </c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49"/>
      <c r="BO55" s="74">
        <f t="shared" si="24"/>
        <v>1019</v>
      </c>
      <c r="BP55" s="75"/>
      <c r="BQ55" s="76"/>
      <c r="BS55" s="51">
        <f t="shared" si="21"/>
        <v>1019</v>
      </c>
    </row>
    <row r="56" spans="1:77" x14ac:dyDescent="0.15">
      <c r="A56" s="19" t="s">
        <v>120</v>
      </c>
      <c r="B56" s="78"/>
      <c r="C56" s="78"/>
      <c r="D56" s="48">
        <f t="shared" si="27"/>
        <v>634</v>
      </c>
      <c r="E56" s="48">
        <f t="shared" si="27"/>
        <v>1454</v>
      </c>
      <c r="F56" s="48">
        <f t="shared" si="27"/>
        <v>949</v>
      </c>
      <c r="G56" s="48">
        <f t="shared" si="27"/>
        <v>840.5</v>
      </c>
      <c r="H56" s="48">
        <f t="shared" si="27"/>
        <v>840.5</v>
      </c>
      <c r="I56" s="48">
        <f t="shared" si="27"/>
        <v>1339</v>
      </c>
      <c r="J56" s="48">
        <f t="shared" si="27"/>
        <v>601.5</v>
      </c>
      <c r="K56" s="48">
        <f t="shared" si="27"/>
        <v>601.5</v>
      </c>
      <c r="L56" s="48" t="str">
        <f t="shared" si="27"/>
        <v/>
      </c>
      <c r="M56" s="48">
        <f t="shared" si="27"/>
        <v>600</v>
      </c>
      <c r="N56" s="54">
        <f t="shared" si="26"/>
        <v>600</v>
      </c>
      <c r="O56" s="54">
        <f t="shared" si="26"/>
        <v>600</v>
      </c>
      <c r="P56" s="54">
        <f t="shared" si="26"/>
        <v>1378.75</v>
      </c>
      <c r="Q56" s="54">
        <f t="shared" si="26"/>
        <v>1378.75</v>
      </c>
      <c r="R56" s="54">
        <f t="shared" si="26"/>
        <v>1378.75</v>
      </c>
      <c r="S56" s="54">
        <f t="shared" si="26"/>
        <v>1378.75</v>
      </c>
      <c r="T56" s="18">
        <f t="shared" si="26"/>
        <v>690</v>
      </c>
      <c r="U56" s="18">
        <f t="shared" si="26"/>
        <v>735.5</v>
      </c>
      <c r="V56" s="18">
        <f t="shared" si="26"/>
        <v>735.5</v>
      </c>
      <c r="W56" s="18">
        <f t="shared" si="26"/>
        <v>1485</v>
      </c>
      <c r="X56" s="18">
        <f t="shared" si="25"/>
        <v>936</v>
      </c>
      <c r="Y56" s="18">
        <f t="shared" si="25"/>
        <v>1143</v>
      </c>
      <c r="Z56" s="18">
        <f t="shared" si="25"/>
        <v>382</v>
      </c>
      <c r="AA56" s="18">
        <f t="shared" si="25"/>
        <v>1421</v>
      </c>
      <c r="AB56" s="18">
        <f t="shared" si="25"/>
        <v>763</v>
      </c>
      <c r="AC56" s="18" t="str">
        <f t="shared" si="25"/>
        <v/>
      </c>
      <c r="AD56" s="18" t="str">
        <f t="shared" si="25"/>
        <v/>
      </c>
      <c r="AE56" s="18" t="str">
        <f t="shared" si="25"/>
        <v/>
      </c>
      <c r="AF56" s="18" t="str">
        <f t="shared" ref="AF56:AP57" si="29">IF(AG29-AF29&gt;0,AG29-AF29,"")</f>
        <v/>
      </c>
      <c r="AG56" s="18" t="str">
        <f t="shared" si="29"/>
        <v/>
      </c>
      <c r="AH56" s="18" t="str">
        <f t="shared" si="29"/>
        <v/>
      </c>
      <c r="AI56" s="18" t="str">
        <f t="shared" si="29"/>
        <v/>
      </c>
      <c r="AJ56" s="18" t="str">
        <f t="shared" si="29"/>
        <v/>
      </c>
      <c r="AK56" s="18" t="str">
        <f t="shared" si="29"/>
        <v/>
      </c>
      <c r="AL56" s="18" t="str">
        <f t="shared" si="29"/>
        <v/>
      </c>
      <c r="AM56" s="18" t="str">
        <f t="shared" si="29"/>
        <v/>
      </c>
      <c r="AN56" s="18" t="str">
        <f t="shared" si="29"/>
        <v/>
      </c>
      <c r="AO56" s="18" t="str">
        <f t="shared" si="29"/>
        <v/>
      </c>
      <c r="AP56" s="18" t="str">
        <f t="shared" si="29"/>
        <v/>
      </c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49"/>
      <c r="BO56" s="74">
        <f t="shared" si="24"/>
        <v>1485</v>
      </c>
      <c r="BP56" s="75"/>
      <c r="BQ56" s="76"/>
      <c r="BS56" s="51">
        <f t="shared" si="21"/>
        <v>1485</v>
      </c>
    </row>
    <row r="57" spans="1:77" x14ac:dyDescent="0.15">
      <c r="A57" s="19" t="s">
        <v>123</v>
      </c>
      <c r="B57" s="78"/>
      <c r="C57" s="78"/>
      <c r="D57" s="48">
        <f t="shared" si="27"/>
        <v>193</v>
      </c>
      <c r="E57" s="48">
        <f t="shared" si="27"/>
        <v>304</v>
      </c>
      <c r="F57" s="48">
        <f t="shared" si="27"/>
        <v>872</v>
      </c>
      <c r="G57" s="48">
        <f t="shared" si="27"/>
        <v>510</v>
      </c>
      <c r="H57" s="48">
        <f t="shared" si="27"/>
        <v>510</v>
      </c>
      <c r="I57" s="48">
        <f t="shared" si="27"/>
        <v>510</v>
      </c>
      <c r="J57" s="48">
        <f t="shared" si="27"/>
        <v>753</v>
      </c>
      <c r="K57" s="48">
        <f t="shared" si="27"/>
        <v>753</v>
      </c>
      <c r="L57" s="48">
        <f t="shared" si="27"/>
        <v>558</v>
      </c>
      <c r="M57" s="48">
        <f t="shared" si="27"/>
        <v>558</v>
      </c>
      <c r="N57" s="54">
        <f t="shared" si="26"/>
        <v>229</v>
      </c>
      <c r="O57" s="54">
        <f t="shared" si="26"/>
        <v>1066</v>
      </c>
      <c r="P57" s="54">
        <f t="shared" si="26"/>
        <v>319</v>
      </c>
      <c r="Q57" s="54">
        <f t="shared" si="26"/>
        <v>319</v>
      </c>
      <c r="R57" s="54">
        <f t="shared" si="26"/>
        <v>320</v>
      </c>
      <c r="S57" s="54">
        <f t="shared" si="26"/>
        <v>757</v>
      </c>
      <c r="T57" s="18">
        <f t="shared" si="26"/>
        <v>544</v>
      </c>
      <c r="U57" s="18">
        <f t="shared" si="26"/>
        <v>544</v>
      </c>
      <c r="V57" s="18">
        <f t="shared" si="26"/>
        <v>544</v>
      </c>
      <c r="W57" s="18">
        <f t="shared" si="26"/>
        <v>544</v>
      </c>
      <c r="X57" s="18">
        <f t="shared" si="26"/>
        <v>738</v>
      </c>
      <c r="Y57" s="18">
        <f t="shared" si="26"/>
        <v>765</v>
      </c>
      <c r="Z57" s="18">
        <f t="shared" si="26"/>
        <v>557</v>
      </c>
      <c r="AA57" s="18">
        <f t="shared" si="26"/>
        <v>1125</v>
      </c>
      <c r="AB57" s="18">
        <f t="shared" si="26"/>
        <v>432</v>
      </c>
      <c r="AC57" s="18" t="str">
        <f t="shared" si="26"/>
        <v/>
      </c>
      <c r="AD57" s="18" t="str">
        <f t="shared" ref="AD57:AE57" si="30">IF(AE30-AD30&gt;0,AE30-AD30,"")</f>
        <v/>
      </c>
      <c r="AE57" s="18" t="str">
        <f t="shared" si="30"/>
        <v/>
      </c>
      <c r="AF57" s="18" t="str">
        <f t="shared" si="29"/>
        <v/>
      </c>
      <c r="AG57" s="18" t="str">
        <f t="shared" si="29"/>
        <v/>
      </c>
      <c r="AH57" s="18" t="str">
        <f t="shared" si="29"/>
        <v/>
      </c>
      <c r="AI57" s="18" t="str">
        <f t="shared" si="29"/>
        <v/>
      </c>
      <c r="AJ57" s="18" t="str">
        <f t="shared" si="29"/>
        <v/>
      </c>
      <c r="AK57" s="18" t="str">
        <f t="shared" si="29"/>
        <v/>
      </c>
      <c r="AL57" s="18" t="str">
        <f t="shared" si="29"/>
        <v/>
      </c>
      <c r="AM57" s="18" t="str">
        <f t="shared" si="29"/>
        <v/>
      </c>
      <c r="AN57" s="18" t="str">
        <f t="shared" si="29"/>
        <v/>
      </c>
      <c r="AO57" s="18" t="str">
        <f t="shared" si="29"/>
        <v/>
      </c>
      <c r="AP57" s="18" t="str">
        <f t="shared" si="29"/>
        <v/>
      </c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49"/>
      <c r="BO57" s="74">
        <f t="shared" si="24"/>
        <v>1125</v>
      </c>
      <c r="BP57" s="75"/>
      <c r="BQ57" s="76"/>
      <c r="BS57" s="51">
        <f t="shared" si="21"/>
        <v>1125</v>
      </c>
    </row>
    <row r="58" spans="1:77" x14ac:dyDescent="0.15">
      <c r="A58" s="30" t="s">
        <v>131</v>
      </c>
      <c r="N58" s="54" t="str">
        <f t="shared" si="26"/>
        <v/>
      </c>
      <c r="O58" s="54" t="str">
        <f t="shared" si="26"/>
        <v/>
      </c>
      <c r="P58" s="54" t="str">
        <f t="shared" si="26"/>
        <v/>
      </c>
      <c r="Q58" s="54" t="str">
        <f t="shared" si="26"/>
        <v/>
      </c>
      <c r="R58" s="54" t="str">
        <f t="shared" si="26"/>
        <v/>
      </c>
      <c r="S58" s="54"/>
      <c r="BS58" s="31"/>
    </row>
    <row r="59" spans="1:77" x14ac:dyDescent="0.15">
      <c r="BP59" s="31"/>
      <c r="BS59" s="31"/>
    </row>
    <row r="60" spans="1:77" hidden="1" x14ac:dyDescent="0.15">
      <c r="A60" s="63" t="s">
        <v>135</v>
      </c>
      <c r="B60" s="63"/>
      <c r="C60" s="64">
        <v>45950</v>
      </c>
      <c r="D60" s="64">
        <v>45957</v>
      </c>
      <c r="E60" s="64">
        <v>45964</v>
      </c>
      <c r="F60" s="64">
        <v>45971</v>
      </c>
      <c r="G60" s="64">
        <v>45978</v>
      </c>
      <c r="H60" s="64">
        <v>45985</v>
      </c>
      <c r="I60" s="64">
        <v>45992</v>
      </c>
      <c r="J60" s="64">
        <v>45999</v>
      </c>
      <c r="K60" s="64">
        <v>46006</v>
      </c>
      <c r="L60" s="64">
        <v>46013</v>
      </c>
      <c r="M60" s="64">
        <v>46020</v>
      </c>
      <c r="N60" s="64">
        <v>46027</v>
      </c>
      <c r="O60" s="64">
        <v>46034</v>
      </c>
      <c r="P60" s="64">
        <v>46041</v>
      </c>
      <c r="Q60" s="64">
        <v>46048</v>
      </c>
      <c r="R60" s="64">
        <v>46055</v>
      </c>
      <c r="S60" s="64">
        <v>46062</v>
      </c>
      <c r="T60" s="64">
        <v>46069</v>
      </c>
      <c r="U60" s="64">
        <v>46076</v>
      </c>
      <c r="V60" s="64">
        <v>46083</v>
      </c>
      <c r="W60" s="64">
        <v>46090</v>
      </c>
      <c r="X60" s="64">
        <v>46097</v>
      </c>
      <c r="Y60" s="64">
        <v>46104</v>
      </c>
      <c r="Z60" s="64">
        <v>46111</v>
      </c>
      <c r="AA60" s="64">
        <v>46118</v>
      </c>
      <c r="AB60" s="64">
        <v>46125</v>
      </c>
      <c r="AC60" s="64">
        <v>46132</v>
      </c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80"/>
      <c r="BL60" s="80"/>
      <c r="BM60" s="80"/>
      <c r="BO60" s="31"/>
      <c r="BP60" s="31"/>
      <c r="BQ60" s="31"/>
      <c r="BR60" s="31"/>
      <c r="BS60" s="31"/>
      <c r="BT60" s="31"/>
      <c r="BU60" s="81" t="s">
        <v>136</v>
      </c>
      <c r="BV60" s="31"/>
      <c r="BY60" s="31"/>
    </row>
    <row r="61" spans="1:77" hidden="1" x14ac:dyDescent="0.15">
      <c r="A61" s="63"/>
      <c r="B61" s="63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80"/>
      <c r="BL61" s="80"/>
      <c r="BM61" s="80"/>
      <c r="BO61" s="31"/>
      <c r="BP61" s="31"/>
      <c r="BQ61" s="31"/>
      <c r="BR61" s="31"/>
      <c r="BS61" s="31"/>
      <c r="BT61" s="31"/>
      <c r="BU61" s="81"/>
      <c r="BV61" s="31"/>
      <c r="BY61" s="31"/>
    </row>
    <row r="62" spans="1:77" hidden="1" x14ac:dyDescent="0.15">
      <c r="A62" s="18" t="s">
        <v>26</v>
      </c>
      <c r="B62" s="72"/>
      <c r="C62" s="82"/>
      <c r="D62" s="51"/>
      <c r="E62" s="51"/>
      <c r="F62" s="51"/>
      <c r="G62" s="51"/>
      <c r="H62" s="51"/>
      <c r="I62" s="51">
        <v>1</v>
      </c>
      <c r="J62" s="51">
        <v>1</v>
      </c>
      <c r="K62" s="51">
        <v>1</v>
      </c>
      <c r="L62" s="51">
        <v>1</v>
      </c>
      <c r="M62" s="51">
        <v>1</v>
      </c>
      <c r="N62" s="51">
        <v>1</v>
      </c>
      <c r="O62" s="51">
        <v>1</v>
      </c>
      <c r="P62" s="51">
        <v>1</v>
      </c>
      <c r="Q62" s="51">
        <v>1</v>
      </c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6">
        <f t="shared" ref="AD62:AD84" si="31">+COUNTIF(N62:Q62,1)</f>
        <v>4</v>
      </c>
      <c r="AE62" s="56">
        <v>4</v>
      </c>
      <c r="AF62" s="83">
        <f>IFERROR(+AD62/AE62,"0%")</f>
        <v>1</v>
      </c>
      <c r="BE62" s="30"/>
      <c r="BF62" s="30"/>
      <c r="BG62" s="30"/>
      <c r="BH62" s="30"/>
      <c r="BI62" s="30"/>
      <c r="BJ62" s="30"/>
      <c r="BO62" s="31"/>
      <c r="BP62" s="31"/>
      <c r="BQ62" s="31"/>
      <c r="BR62" s="31"/>
      <c r="BS62" s="31"/>
      <c r="BT62" s="31"/>
      <c r="BU62" s="84">
        <f>+COUNTIF(I62:M62,1)/COUNTA(I62:M62)</f>
        <v>1</v>
      </c>
      <c r="BY62" s="31"/>
    </row>
    <row r="63" spans="1:77" hidden="1" x14ac:dyDescent="0.15">
      <c r="A63" s="19" t="s">
        <v>36</v>
      </c>
      <c r="B63" s="72"/>
      <c r="C63" s="82"/>
      <c r="D63" s="51"/>
      <c r="E63" s="51"/>
      <c r="F63" s="51"/>
      <c r="G63" s="51"/>
      <c r="H63" s="51"/>
      <c r="I63" s="51">
        <v>1</v>
      </c>
      <c r="J63" s="51">
        <v>1</v>
      </c>
      <c r="K63" s="51">
        <v>1</v>
      </c>
      <c r="L63" s="51">
        <v>1</v>
      </c>
      <c r="M63" s="51">
        <v>1</v>
      </c>
      <c r="N63" s="51">
        <v>1</v>
      </c>
      <c r="O63" s="51">
        <v>1</v>
      </c>
      <c r="P63" s="51">
        <v>1</v>
      </c>
      <c r="Q63" s="51">
        <v>1</v>
      </c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6">
        <f t="shared" si="31"/>
        <v>4</v>
      </c>
      <c r="AE63" s="56">
        <v>4</v>
      </c>
      <c r="AF63" s="83">
        <f t="shared" ref="AF63:AF84" si="32">IFERROR(+AD63/AE63,"0%")</f>
        <v>1</v>
      </c>
      <c r="BE63" s="30"/>
      <c r="BF63" s="30"/>
      <c r="BG63" s="30"/>
      <c r="BH63" s="30"/>
      <c r="BI63" s="30"/>
      <c r="BJ63" s="30"/>
      <c r="BO63" s="31"/>
      <c r="BP63" s="31"/>
      <c r="BQ63" s="31"/>
      <c r="BR63" s="31"/>
      <c r="BS63" s="31"/>
      <c r="BT63" s="31"/>
      <c r="BU63" s="84">
        <f t="shared" ref="BU63:BU84" si="33">+COUNTIF(I63:M63,1)/COUNTA(I63:M63)</f>
        <v>1</v>
      </c>
      <c r="BY63" s="31"/>
    </row>
    <row r="64" spans="1:77" hidden="1" x14ac:dyDescent="0.15">
      <c r="A64" s="19" t="s">
        <v>42</v>
      </c>
      <c r="B64" s="72"/>
      <c r="C64" s="82"/>
      <c r="D64" s="51"/>
      <c r="E64" s="51"/>
      <c r="F64" s="51"/>
      <c r="G64" s="51"/>
      <c r="H64" s="51"/>
      <c r="I64" s="51">
        <v>2</v>
      </c>
      <c r="J64" s="51">
        <v>2</v>
      </c>
      <c r="K64" s="51">
        <v>2</v>
      </c>
      <c r="L64" s="51">
        <v>2</v>
      </c>
      <c r="M64" s="51">
        <v>1</v>
      </c>
      <c r="N64" s="51">
        <v>2</v>
      </c>
      <c r="O64" s="51">
        <v>2</v>
      </c>
      <c r="P64" s="51">
        <v>2</v>
      </c>
      <c r="Q64" s="51">
        <v>2</v>
      </c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6">
        <f t="shared" si="31"/>
        <v>0</v>
      </c>
      <c r="AE64" s="56">
        <v>4</v>
      </c>
      <c r="AF64" s="83">
        <f t="shared" si="32"/>
        <v>0</v>
      </c>
      <c r="BE64" s="30"/>
      <c r="BF64" s="30"/>
      <c r="BG64" s="30"/>
      <c r="BH64" s="30"/>
      <c r="BI64" s="30"/>
      <c r="BJ64" s="30"/>
      <c r="BO64" s="31"/>
      <c r="BP64" s="31"/>
      <c r="BQ64" s="31"/>
      <c r="BR64" s="31"/>
      <c r="BS64" s="31"/>
      <c r="BT64" s="31"/>
      <c r="BU64" s="84">
        <f t="shared" si="33"/>
        <v>0.2</v>
      </c>
      <c r="BY64" s="31"/>
    </row>
    <row r="65" spans="1:77" hidden="1" x14ac:dyDescent="0.15">
      <c r="A65" s="19" t="s">
        <v>48</v>
      </c>
      <c r="B65" s="72"/>
      <c r="C65" s="82"/>
      <c r="D65" s="51"/>
      <c r="E65" s="51"/>
      <c r="F65" s="51"/>
      <c r="G65" s="51"/>
      <c r="H65" s="51"/>
      <c r="I65" s="51">
        <v>1</v>
      </c>
      <c r="J65" s="51">
        <v>1</v>
      </c>
      <c r="K65" s="51">
        <v>2</v>
      </c>
      <c r="L65" s="51">
        <v>2</v>
      </c>
      <c r="M65" s="51">
        <v>1</v>
      </c>
      <c r="N65" s="51">
        <v>2</v>
      </c>
      <c r="O65" s="51">
        <v>2</v>
      </c>
      <c r="P65" s="51">
        <v>1</v>
      </c>
      <c r="Q65" s="51">
        <v>2</v>
      </c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6">
        <f t="shared" si="31"/>
        <v>1</v>
      </c>
      <c r="AE65" s="56">
        <v>4</v>
      </c>
      <c r="AF65" s="83">
        <f t="shared" si="32"/>
        <v>0.25</v>
      </c>
      <c r="BE65" s="30"/>
      <c r="BF65" s="30"/>
      <c r="BG65" s="30"/>
      <c r="BH65" s="30"/>
      <c r="BI65" s="30"/>
      <c r="BJ65" s="30"/>
      <c r="BO65" s="31"/>
      <c r="BP65" s="31"/>
      <c r="BQ65" s="31"/>
      <c r="BR65" s="31"/>
      <c r="BS65" s="31"/>
      <c r="BT65" s="31"/>
      <c r="BU65" s="84">
        <f t="shared" si="33"/>
        <v>0.6</v>
      </c>
      <c r="BY65" s="31"/>
    </row>
    <row r="66" spans="1:77" hidden="1" x14ac:dyDescent="0.15">
      <c r="A66" s="19" t="s">
        <v>55</v>
      </c>
      <c r="B66" s="72"/>
      <c r="C66" s="82"/>
      <c r="D66" s="51"/>
      <c r="E66" s="51"/>
      <c r="F66" s="51"/>
      <c r="G66" s="51"/>
      <c r="H66" s="51"/>
      <c r="I66" s="51">
        <v>1</v>
      </c>
      <c r="J66" s="51">
        <v>1</v>
      </c>
      <c r="K66" s="51">
        <v>1</v>
      </c>
      <c r="L66" s="51">
        <v>1</v>
      </c>
      <c r="M66" s="51">
        <v>1</v>
      </c>
      <c r="N66" s="51">
        <v>1</v>
      </c>
      <c r="O66" s="51">
        <v>1</v>
      </c>
      <c r="P66" s="51">
        <v>1</v>
      </c>
      <c r="Q66" s="51">
        <v>1</v>
      </c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6">
        <f t="shared" si="31"/>
        <v>4</v>
      </c>
      <c r="AE66" s="56">
        <v>4</v>
      </c>
      <c r="AF66" s="83">
        <f t="shared" si="32"/>
        <v>1</v>
      </c>
      <c r="BE66" s="30"/>
      <c r="BF66" s="30"/>
      <c r="BG66" s="30"/>
      <c r="BH66" s="30"/>
      <c r="BI66" s="30"/>
      <c r="BJ66" s="30"/>
      <c r="BO66" s="31"/>
      <c r="BP66" s="31"/>
      <c r="BQ66" s="31"/>
      <c r="BR66" s="31"/>
      <c r="BS66" s="31"/>
      <c r="BT66" s="31"/>
      <c r="BU66" s="84">
        <f t="shared" si="33"/>
        <v>1</v>
      </c>
      <c r="BY66" s="31"/>
    </row>
    <row r="67" spans="1:77" hidden="1" x14ac:dyDescent="0.15">
      <c r="A67" s="19" t="s">
        <v>60</v>
      </c>
      <c r="B67" s="72"/>
      <c r="C67" s="82"/>
      <c r="D67" s="51"/>
      <c r="E67" s="51"/>
      <c r="F67" s="51"/>
      <c r="G67" s="51"/>
      <c r="H67" s="51"/>
      <c r="I67" s="51">
        <v>1</v>
      </c>
      <c r="J67" s="51">
        <v>2</v>
      </c>
      <c r="K67" s="51">
        <v>1</v>
      </c>
      <c r="L67" s="51">
        <v>1</v>
      </c>
      <c r="M67" s="51">
        <v>1</v>
      </c>
      <c r="N67" s="51">
        <v>2</v>
      </c>
      <c r="O67" s="51">
        <v>2</v>
      </c>
      <c r="P67" s="51">
        <v>1</v>
      </c>
      <c r="Q67" s="51">
        <v>2</v>
      </c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6">
        <f t="shared" si="31"/>
        <v>1</v>
      </c>
      <c r="AE67" s="56">
        <v>4</v>
      </c>
      <c r="AF67" s="83">
        <f t="shared" si="32"/>
        <v>0.25</v>
      </c>
      <c r="BE67" s="30"/>
      <c r="BF67" s="30"/>
      <c r="BG67" s="30"/>
      <c r="BH67" s="30"/>
      <c r="BI67" s="30"/>
      <c r="BJ67" s="30"/>
      <c r="BO67" s="31"/>
      <c r="BP67" s="31"/>
      <c r="BQ67" s="31"/>
      <c r="BR67" s="31"/>
      <c r="BS67" s="31"/>
      <c r="BT67" s="31"/>
      <c r="BU67" s="84">
        <f t="shared" si="33"/>
        <v>0.8</v>
      </c>
      <c r="BY67" s="31"/>
    </row>
    <row r="68" spans="1:77" hidden="1" x14ac:dyDescent="0.15">
      <c r="A68" s="19" t="s">
        <v>63</v>
      </c>
      <c r="B68" s="72"/>
      <c r="C68" s="82"/>
      <c r="D68" s="51"/>
      <c r="E68" s="51"/>
      <c r="F68" s="51"/>
      <c r="G68" s="51"/>
      <c r="H68" s="51"/>
      <c r="I68" s="51">
        <v>1</v>
      </c>
      <c r="J68" s="51">
        <v>1</v>
      </c>
      <c r="K68" s="51">
        <v>1</v>
      </c>
      <c r="L68" s="51">
        <v>1</v>
      </c>
      <c r="M68" s="51">
        <v>1</v>
      </c>
      <c r="N68" s="51">
        <v>1</v>
      </c>
      <c r="O68" s="51">
        <v>1</v>
      </c>
      <c r="P68" s="51">
        <v>1</v>
      </c>
      <c r="Q68" s="51">
        <v>1</v>
      </c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6">
        <f t="shared" si="31"/>
        <v>4</v>
      </c>
      <c r="AE68" s="56">
        <v>4</v>
      </c>
      <c r="AF68" s="83">
        <f t="shared" si="32"/>
        <v>1</v>
      </c>
      <c r="BE68" s="30"/>
      <c r="BF68" s="30"/>
      <c r="BG68" s="30"/>
      <c r="BH68" s="30"/>
      <c r="BI68" s="30"/>
      <c r="BJ68" s="30"/>
      <c r="BO68" s="31"/>
      <c r="BP68" s="31"/>
      <c r="BQ68" s="31"/>
      <c r="BR68" s="31"/>
      <c r="BS68" s="31"/>
      <c r="BT68" s="31"/>
      <c r="BU68" s="84">
        <f t="shared" si="33"/>
        <v>1</v>
      </c>
      <c r="BY68" s="31"/>
    </row>
    <row r="69" spans="1:77" hidden="1" x14ac:dyDescent="0.15">
      <c r="A69" s="19" t="s">
        <v>68</v>
      </c>
      <c r="B69" s="72"/>
      <c r="C69" s="82"/>
      <c r="D69" s="51"/>
      <c r="E69" s="51"/>
      <c r="F69" s="51"/>
      <c r="G69" s="51"/>
      <c r="H69" s="51"/>
      <c r="I69" s="51">
        <v>1</v>
      </c>
      <c r="J69" s="51">
        <v>2</v>
      </c>
      <c r="K69" s="51">
        <v>2</v>
      </c>
      <c r="L69" s="51">
        <v>2</v>
      </c>
      <c r="M69" s="51">
        <v>2</v>
      </c>
      <c r="N69" s="51">
        <v>2</v>
      </c>
      <c r="O69" s="51">
        <v>2</v>
      </c>
      <c r="P69" s="51">
        <v>2</v>
      </c>
      <c r="Q69" s="51">
        <v>2</v>
      </c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6">
        <f t="shared" si="31"/>
        <v>0</v>
      </c>
      <c r="AE69" s="56">
        <v>4</v>
      </c>
      <c r="AF69" s="83">
        <f t="shared" si="32"/>
        <v>0</v>
      </c>
      <c r="BE69" s="30"/>
      <c r="BF69" s="30"/>
      <c r="BG69" s="30"/>
      <c r="BH69" s="30"/>
      <c r="BI69" s="30"/>
      <c r="BJ69" s="30"/>
      <c r="BO69" s="31"/>
      <c r="BP69" s="31"/>
      <c r="BQ69" s="31"/>
      <c r="BR69" s="31"/>
      <c r="BS69" s="31"/>
      <c r="BT69" s="31"/>
      <c r="BU69" s="84">
        <f t="shared" si="33"/>
        <v>0.2</v>
      </c>
      <c r="BX69" s="31"/>
      <c r="BY69" s="31"/>
    </row>
    <row r="70" spans="1:77" hidden="1" x14ac:dyDescent="0.15">
      <c r="A70" s="19" t="s">
        <v>72</v>
      </c>
      <c r="B70" s="72"/>
      <c r="C70" s="82"/>
      <c r="D70" s="51"/>
      <c r="E70" s="51"/>
      <c r="F70" s="51"/>
      <c r="G70" s="51"/>
      <c r="H70" s="51"/>
      <c r="I70" s="51">
        <v>1</v>
      </c>
      <c r="J70" s="51">
        <v>1</v>
      </c>
      <c r="K70" s="51">
        <v>1</v>
      </c>
      <c r="L70" s="51">
        <v>1</v>
      </c>
      <c r="M70" s="51">
        <v>1</v>
      </c>
      <c r="N70" s="51">
        <v>1</v>
      </c>
      <c r="O70" s="51">
        <v>1</v>
      </c>
      <c r="P70" s="51">
        <v>1</v>
      </c>
      <c r="Q70" s="51">
        <v>1</v>
      </c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6">
        <f t="shared" si="31"/>
        <v>4</v>
      </c>
      <c r="AE70" s="56">
        <v>4</v>
      </c>
      <c r="AF70" s="83">
        <f t="shared" si="32"/>
        <v>1</v>
      </c>
      <c r="BE70" s="30"/>
      <c r="BF70" s="30"/>
      <c r="BG70" s="30"/>
      <c r="BH70" s="30"/>
      <c r="BI70" s="30"/>
      <c r="BJ70" s="30"/>
      <c r="BO70" s="31"/>
      <c r="BP70" s="31"/>
      <c r="BQ70" s="31"/>
      <c r="BR70" s="31"/>
      <c r="BS70" s="31"/>
      <c r="BT70" s="31"/>
      <c r="BU70" s="84">
        <f t="shared" si="33"/>
        <v>1</v>
      </c>
      <c r="BX70" s="31"/>
      <c r="BY70" s="31"/>
    </row>
    <row r="71" spans="1:77" hidden="1" x14ac:dyDescent="0.15">
      <c r="A71" s="26" t="s">
        <v>77</v>
      </c>
      <c r="B71" s="72"/>
      <c r="C71" s="82"/>
      <c r="D71" s="51"/>
      <c r="E71" s="51"/>
      <c r="F71" s="51"/>
      <c r="G71" s="51"/>
      <c r="H71" s="51"/>
      <c r="I71" s="51">
        <v>2</v>
      </c>
      <c r="J71" s="51">
        <v>2</v>
      </c>
      <c r="K71" s="51">
        <v>2</v>
      </c>
      <c r="L71" s="51">
        <v>2</v>
      </c>
      <c r="M71" s="51">
        <v>2</v>
      </c>
      <c r="N71" s="51">
        <v>2</v>
      </c>
      <c r="O71" s="51">
        <v>2</v>
      </c>
      <c r="P71" s="51">
        <v>2</v>
      </c>
      <c r="Q71" s="51">
        <v>2</v>
      </c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6">
        <f t="shared" si="31"/>
        <v>0</v>
      </c>
      <c r="AE71" s="56">
        <v>4</v>
      </c>
      <c r="AF71" s="83">
        <f t="shared" si="32"/>
        <v>0</v>
      </c>
      <c r="BE71" s="30"/>
      <c r="BF71" s="30"/>
      <c r="BG71" s="30"/>
      <c r="BH71" s="30"/>
      <c r="BI71" s="30"/>
      <c r="BJ71" s="30"/>
      <c r="BO71" s="31"/>
      <c r="BP71" s="31"/>
      <c r="BQ71" s="31"/>
      <c r="BR71" s="31"/>
      <c r="BS71" s="31"/>
      <c r="BT71" s="31"/>
      <c r="BU71" s="84">
        <f t="shared" si="33"/>
        <v>0</v>
      </c>
      <c r="BX71" s="31"/>
      <c r="BY71" s="31"/>
    </row>
    <row r="72" spans="1:77" hidden="1" x14ac:dyDescent="0.15">
      <c r="A72" s="19" t="s">
        <v>82</v>
      </c>
      <c r="B72" s="72"/>
      <c r="C72" s="82"/>
      <c r="D72" s="51"/>
      <c r="E72" s="51"/>
      <c r="F72" s="51"/>
      <c r="G72" s="51"/>
      <c r="H72" s="51"/>
      <c r="I72" s="51">
        <v>2</v>
      </c>
      <c r="J72" s="51">
        <v>2</v>
      </c>
      <c r="K72" s="51">
        <v>2</v>
      </c>
      <c r="L72" s="51">
        <v>2</v>
      </c>
      <c r="M72" s="51">
        <v>2</v>
      </c>
      <c r="N72" s="51">
        <v>2</v>
      </c>
      <c r="O72" s="51">
        <v>2</v>
      </c>
      <c r="P72" s="51">
        <v>2</v>
      </c>
      <c r="Q72" s="51">
        <v>2</v>
      </c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6">
        <f t="shared" si="31"/>
        <v>0</v>
      </c>
      <c r="AE72" s="56">
        <v>4</v>
      </c>
      <c r="AF72" s="83">
        <f t="shared" si="32"/>
        <v>0</v>
      </c>
      <c r="BE72" s="30"/>
      <c r="BF72" s="30"/>
      <c r="BG72" s="30"/>
      <c r="BH72" s="30"/>
      <c r="BI72" s="30"/>
      <c r="BJ72" s="30"/>
      <c r="BO72" s="31"/>
      <c r="BP72" s="31"/>
      <c r="BQ72" s="31"/>
      <c r="BR72" s="31"/>
      <c r="BS72" s="31"/>
      <c r="BT72" s="31"/>
      <c r="BU72" s="84">
        <f t="shared" si="33"/>
        <v>0</v>
      </c>
      <c r="BX72" s="31"/>
      <c r="BY72" s="31"/>
    </row>
    <row r="73" spans="1:77" hidden="1" x14ac:dyDescent="0.15">
      <c r="A73" s="19" t="s">
        <v>85</v>
      </c>
      <c r="B73" s="72"/>
      <c r="C73" s="82"/>
      <c r="D73" s="51"/>
      <c r="E73" s="51"/>
      <c r="F73" s="51"/>
      <c r="G73" s="51"/>
      <c r="H73" s="51"/>
      <c r="I73" s="51">
        <v>1</v>
      </c>
      <c r="J73" s="51">
        <v>1</v>
      </c>
      <c r="K73" s="51">
        <v>1</v>
      </c>
      <c r="L73" s="51">
        <v>1</v>
      </c>
      <c r="M73" s="51">
        <v>1</v>
      </c>
      <c r="N73" s="51">
        <v>1</v>
      </c>
      <c r="O73" s="51">
        <v>1</v>
      </c>
      <c r="P73" s="51">
        <v>1</v>
      </c>
      <c r="Q73" s="51">
        <v>1</v>
      </c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6">
        <f t="shared" si="31"/>
        <v>4</v>
      </c>
      <c r="AE73" s="56">
        <v>4</v>
      </c>
      <c r="AF73" s="83">
        <f t="shared" si="32"/>
        <v>1</v>
      </c>
      <c r="BE73" s="30"/>
      <c r="BF73" s="30"/>
      <c r="BG73" s="30"/>
      <c r="BH73" s="30"/>
      <c r="BI73" s="30"/>
      <c r="BJ73" s="30"/>
      <c r="BO73" s="31"/>
      <c r="BP73" s="31"/>
      <c r="BQ73" s="31"/>
      <c r="BR73" s="31"/>
      <c r="BS73" s="31"/>
      <c r="BT73" s="31"/>
      <c r="BU73" s="84">
        <f t="shared" si="33"/>
        <v>1</v>
      </c>
      <c r="BX73" s="31"/>
    </row>
    <row r="74" spans="1:77" hidden="1" x14ac:dyDescent="0.15">
      <c r="A74" s="19" t="s">
        <v>89</v>
      </c>
      <c r="B74" s="72"/>
      <c r="C74" s="82"/>
      <c r="D74" s="51"/>
      <c r="E74" s="51"/>
      <c r="F74" s="51"/>
      <c r="G74" s="51"/>
      <c r="H74" s="51"/>
      <c r="I74" s="51">
        <v>1</v>
      </c>
      <c r="J74" s="51">
        <v>1</v>
      </c>
      <c r="K74" s="51">
        <v>1</v>
      </c>
      <c r="L74" s="51">
        <v>1</v>
      </c>
      <c r="M74" s="51">
        <v>1</v>
      </c>
      <c r="N74" s="51">
        <v>1</v>
      </c>
      <c r="O74" s="51">
        <v>1</v>
      </c>
      <c r="P74" s="51">
        <v>1</v>
      </c>
      <c r="Q74" s="51">
        <v>1</v>
      </c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6">
        <f t="shared" si="31"/>
        <v>4</v>
      </c>
      <c r="AE74" s="56">
        <v>4</v>
      </c>
      <c r="AF74" s="83">
        <f t="shared" si="32"/>
        <v>1</v>
      </c>
      <c r="BE74" s="30"/>
      <c r="BF74" s="30"/>
      <c r="BG74" s="30"/>
      <c r="BH74" s="30"/>
      <c r="BI74" s="30"/>
      <c r="BJ74" s="30"/>
      <c r="BO74" s="31"/>
      <c r="BP74" s="31"/>
      <c r="BQ74" s="31"/>
      <c r="BR74" s="31"/>
      <c r="BS74" s="31"/>
      <c r="BT74" s="31"/>
      <c r="BU74" s="84">
        <f t="shared" si="33"/>
        <v>1</v>
      </c>
      <c r="BX74" s="31"/>
    </row>
    <row r="75" spans="1:77" hidden="1" x14ac:dyDescent="0.15">
      <c r="A75" s="19" t="s">
        <v>93</v>
      </c>
      <c r="B75" s="72"/>
      <c r="C75" s="82"/>
      <c r="D75" s="51"/>
      <c r="E75" s="51"/>
      <c r="F75" s="51"/>
      <c r="G75" s="51"/>
      <c r="H75" s="51"/>
      <c r="I75" s="51">
        <v>1</v>
      </c>
      <c r="J75" s="51">
        <v>1</v>
      </c>
      <c r="K75" s="51">
        <v>1</v>
      </c>
      <c r="L75" s="51">
        <v>1</v>
      </c>
      <c r="M75" s="51">
        <v>1</v>
      </c>
      <c r="N75" s="51">
        <v>1</v>
      </c>
      <c r="O75" s="51">
        <v>1</v>
      </c>
      <c r="P75" s="51">
        <v>1</v>
      </c>
      <c r="Q75" s="51">
        <v>1</v>
      </c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6">
        <f t="shared" si="31"/>
        <v>4</v>
      </c>
      <c r="AE75" s="56">
        <v>4</v>
      </c>
      <c r="AF75" s="83">
        <f t="shared" si="32"/>
        <v>1</v>
      </c>
      <c r="BE75" s="30"/>
      <c r="BF75" s="30"/>
      <c r="BG75" s="30"/>
      <c r="BH75" s="30"/>
      <c r="BI75" s="30"/>
      <c r="BJ75" s="30"/>
      <c r="BO75" s="31"/>
      <c r="BP75" s="31"/>
      <c r="BQ75" s="31"/>
      <c r="BR75" s="31"/>
      <c r="BS75" s="31"/>
      <c r="BT75" s="31"/>
      <c r="BU75" s="84">
        <f t="shared" si="33"/>
        <v>1</v>
      </c>
      <c r="BX75" s="31"/>
    </row>
    <row r="76" spans="1:77" hidden="1" x14ac:dyDescent="0.15">
      <c r="A76" s="19" t="s">
        <v>96</v>
      </c>
      <c r="B76" s="72"/>
      <c r="C76" s="82"/>
      <c r="D76" s="51"/>
      <c r="E76" s="51"/>
      <c r="F76" s="51"/>
      <c r="G76" s="51"/>
      <c r="H76" s="51"/>
      <c r="I76" s="51">
        <v>2</v>
      </c>
      <c r="J76" s="51">
        <v>1</v>
      </c>
      <c r="K76" s="51">
        <v>1</v>
      </c>
      <c r="L76" s="51">
        <v>1</v>
      </c>
      <c r="M76" s="51">
        <v>1</v>
      </c>
      <c r="N76" s="51">
        <v>1</v>
      </c>
      <c r="O76" s="51">
        <v>1</v>
      </c>
      <c r="P76" s="51">
        <v>1</v>
      </c>
      <c r="Q76" s="51">
        <v>1</v>
      </c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6">
        <f t="shared" si="31"/>
        <v>4</v>
      </c>
      <c r="AE76" s="56">
        <v>4</v>
      </c>
      <c r="AF76" s="83">
        <f t="shared" si="32"/>
        <v>1</v>
      </c>
      <c r="BE76" s="30"/>
      <c r="BF76" s="30"/>
      <c r="BG76" s="30"/>
      <c r="BH76" s="30"/>
      <c r="BI76" s="30"/>
      <c r="BJ76" s="30"/>
      <c r="BO76" s="31"/>
      <c r="BP76" s="31"/>
      <c r="BQ76" s="31"/>
      <c r="BR76" s="31"/>
      <c r="BS76" s="31"/>
      <c r="BT76" s="31"/>
      <c r="BU76" s="84">
        <f t="shared" si="33"/>
        <v>0.8</v>
      </c>
      <c r="BX76" s="31"/>
    </row>
    <row r="77" spans="1:77" hidden="1" x14ac:dyDescent="0.15">
      <c r="A77" s="19" t="s">
        <v>99</v>
      </c>
      <c r="B77" s="72"/>
      <c r="C77" s="82"/>
      <c r="D77" s="51"/>
      <c r="E77" s="51"/>
      <c r="F77" s="51"/>
      <c r="G77" s="51"/>
      <c r="H77" s="51"/>
      <c r="I77" s="51">
        <v>2</v>
      </c>
      <c r="J77" s="51">
        <v>1</v>
      </c>
      <c r="K77" s="51">
        <v>2</v>
      </c>
      <c r="L77" s="51">
        <v>2</v>
      </c>
      <c r="M77" s="51">
        <v>2</v>
      </c>
      <c r="N77" s="51">
        <v>2</v>
      </c>
      <c r="O77" s="51">
        <v>2</v>
      </c>
      <c r="P77" s="51">
        <v>2</v>
      </c>
      <c r="Q77" s="51">
        <v>2</v>
      </c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6">
        <f t="shared" si="31"/>
        <v>0</v>
      </c>
      <c r="AE77" s="56">
        <v>4</v>
      </c>
      <c r="AF77" s="83">
        <f t="shared" si="32"/>
        <v>0</v>
      </c>
      <c r="BE77" s="30"/>
      <c r="BF77" s="30"/>
      <c r="BG77" s="30"/>
      <c r="BH77" s="30"/>
      <c r="BI77" s="30"/>
      <c r="BJ77" s="30"/>
      <c r="BO77" s="31"/>
      <c r="BP77" s="31"/>
      <c r="BQ77" s="31"/>
      <c r="BR77" s="31"/>
      <c r="BS77" s="31"/>
      <c r="BT77" s="31"/>
      <c r="BU77" s="84">
        <f t="shared" si="33"/>
        <v>0.2</v>
      </c>
    </row>
    <row r="78" spans="1:77" hidden="1" x14ac:dyDescent="0.15">
      <c r="A78" s="19" t="s">
        <v>103</v>
      </c>
      <c r="B78" s="72"/>
      <c r="C78" s="82"/>
      <c r="D78" s="51"/>
      <c r="E78" s="51"/>
      <c r="F78" s="51"/>
      <c r="G78" s="51"/>
      <c r="H78" s="51"/>
      <c r="I78" s="51">
        <v>2</v>
      </c>
      <c r="J78" s="51">
        <v>1</v>
      </c>
      <c r="K78" s="51">
        <v>1</v>
      </c>
      <c r="L78" s="51">
        <v>1</v>
      </c>
      <c r="M78" s="51">
        <v>1</v>
      </c>
      <c r="N78" s="51">
        <v>1</v>
      </c>
      <c r="O78" s="51">
        <v>1</v>
      </c>
      <c r="P78" s="51">
        <v>1</v>
      </c>
      <c r="Q78" s="51">
        <v>1</v>
      </c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6">
        <f t="shared" si="31"/>
        <v>4</v>
      </c>
      <c r="AE78" s="56">
        <v>4</v>
      </c>
      <c r="AF78" s="83">
        <f t="shared" si="32"/>
        <v>1</v>
      </c>
      <c r="BE78" s="30"/>
      <c r="BF78" s="30"/>
      <c r="BG78" s="30"/>
      <c r="BH78" s="30"/>
      <c r="BI78" s="30"/>
      <c r="BJ78" s="30"/>
      <c r="BO78" s="31"/>
      <c r="BP78" s="31"/>
      <c r="BQ78" s="31"/>
      <c r="BR78" s="31"/>
      <c r="BS78" s="31"/>
      <c r="BT78" s="31"/>
      <c r="BU78" s="84">
        <f t="shared" si="33"/>
        <v>0.8</v>
      </c>
    </row>
    <row r="79" spans="1:77" hidden="1" x14ac:dyDescent="0.15">
      <c r="A79" s="19" t="s">
        <v>106</v>
      </c>
      <c r="B79" s="72"/>
      <c r="C79" s="82"/>
      <c r="D79" s="51"/>
      <c r="E79" s="51"/>
      <c r="F79" s="51"/>
      <c r="G79" s="51"/>
      <c r="H79" s="51"/>
      <c r="I79" s="51">
        <v>1</v>
      </c>
      <c r="J79" s="51">
        <v>1</v>
      </c>
      <c r="K79" s="51">
        <v>1</v>
      </c>
      <c r="L79" s="51">
        <v>1</v>
      </c>
      <c r="M79" s="51">
        <v>1</v>
      </c>
      <c r="N79" s="51">
        <v>1</v>
      </c>
      <c r="O79" s="51">
        <v>1</v>
      </c>
      <c r="P79" s="51">
        <v>1</v>
      </c>
      <c r="Q79" s="51">
        <v>1</v>
      </c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6">
        <f t="shared" si="31"/>
        <v>4</v>
      </c>
      <c r="AE79" s="56">
        <v>4</v>
      </c>
      <c r="AF79" s="83">
        <f t="shared" si="32"/>
        <v>1</v>
      </c>
      <c r="BE79" s="30"/>
      <c r="BF79" s="30"/>
      <c r="BG79" s="30"/>
      <c r="BH79" s="30"/>
      <c r="BI79" s="30"/>
      <c r="BJ79" s="30"/>
      <c r="BO79" s="31"/>
      <c r="BP79" s="31"/>
      <c r="BQ79" s="31"/>
      <c r="BR79" s="31"/>
      <c r="BS79" s="31"/>
      <c r="BT79" s="31"/>
      <c r="BU79" s="84">
        <f t="shared" si="33"/>
        <v>1</v>
      </c>
    </row>
    <row r="80" spans="1:77" hidden="1" x14ac:dyDescent="0.15">
      <c r="A80" s="19" t="s">
        <v>137</v>
      </c>
      <c r="B80" s="77"/>
      <c r="C80" s="85"/>
      <c r="D80" s="51"/>
      <c r="E80" s="51"/>
      <c r="F80" s="51"/>
      <c r="G80" s="51"/>
      <c r="H80" s="51"/>
      <c r="I80" s="51">
        <v>1</v>
      </c>
      <c r="J80" s="51">
        <v>2</v>
      </c>
      <c r="K80" s="51">
        <v>2</v>
      </c>
      <c r="L80" s="51">
        <v>2</v>
      </c>
      <c r="M80" s="51">
        <v>2</v>
      </c>
      <c r="N80" s="51">
        <v>1</v>
      </c>
      <c r="O80" s="51">
        <v>1</v>
      </c>
      <c r="P80" s="51">
        <v>1</v>
      </c>
      <c r="Q80" s="51">
        <v>1</v>
      </c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6">
        <f t="shared" si="31"/>
        <v>4</v>
      </c>
      <c r="AE80" s="56">
        <v>4</v>
      </c>
      <c r="AF80" s="83">
        <f t="shared" si="32"/>
        <v>1</v>
      </c>
      <c r="BE80" s="30"/>
      <c r="BF80" s="30"/>
      <c r="BG80" s="30"/>
      <c r="BH80" s="30"/>
      <c r="BI80" s="30"/>
      <c r="BJ80" s="30"/>
      <c r="BO80" s="31"/>
      <c r="BP80" s="31"/>
      <c r="BQ80" s="31"/>
      <c r="BR80" s="31"/>
      <c r="BS80" s="31"/>
      <c r="BT80" s="31"/>
      <c r="BU80" s="84">
        <f t="shared" si="33"/>
        <v>0.2</v>
      </c>
    </row>
    <row r="81" spans="1:73" hidden="1" x14ac:dyDescent="0.15">
      <c r="A81" s="19" t="s">
        <v>112</v>
      </c>
      <c r="B81" s="78"/>
      <c r="C81" s="85"/>
      <c r="D81" s="51"/>
      <c r="E81" s="51"/>
      <c r="F81" s="51"/>
      <c r="G81" s="51"/>
      <c r="H81" s="51"/>
      <c r="I81" s="51">
        <v>2</v>
      </c>
      <c r="J81" s="51">
        <v>2</v>
      </c>
      <c r="K81" s="51">
        <v>2</v>
      </c>
      <c r="L81" s="51">
        <v>2</v>
      </c>
      <c r="M81" s="51">
        <v>2</v>
      </c>
      <c r="N81" s="51">
        <v>2</v>
      </c>
      <c r="O81" s="51">
        <v>2</v>
      </c>
      <c r="P81" s="51">
        <v>2</v>
      </c>
      <c r="Q81" s="51">
        <v>2</v>
      </c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6">
        <f t="shared" si="31"/>
        <v>0</v>
      </c>
      <c r="AE81" s="56">
        <v>4</v>
      </c>
      <c r="AF81" s="83">
        <f t="shared" si="32"/>
        <v>0</v>
      </c>
      <c r="BE81" s="30"/>
      <c r="BF81" s="30"/>
      <c r="BG81" s="30"/>
      <c r="BH81" s="30"/>
      <c r="BI81" s="30"/>
      <c r="BJ81" s="30"/>
      <c r="BO81" s="31"/>
      <c r="BP81" s="31"/>
      <c r="BQ81" s="31"/>
      <c r="BR81" s="31"/>
      <c r="BS81" s="31"/>
      <c r="BT81" s="31"/>
      <c r="BU81" s="84">
        <f t="shared" si="33"/>
        <v>0</v>
      </c>
    </row>
    <row r="82" spans="1:73" hidden="1" x14ac:dyDescent="0.15">
      <c r="A82" s="19" t="s">
        <v>117</v>
      </c>
      <c r="B82" s="78"/>
      <c r="C82" s="85"/>
      <c r="D82" s="51"/>
      <c r="E82" s="51"/>
      <c r="F82" s="51"/>
      <c r="G82" s="51"/>
      <c r="H82" s="51"/>
      <c r="I82" s="51">
        <v>2</v>
      </c>
      <c r="J82" s="51">
        <v>2</v>
      </c>
      <c r="K82" s="51">
        <v>2</v>
      </c>
      <c r="L82" s="51">
        <v>2</v>
      </c>
      <c r="M82" s="51">
        <v>2</v>
      </c>
      <c r="N82" s="51">
        <v>2</v>
      </c>
      <c r="O82" s="51">
        <v>2</v>
      </c>
      <c r="P82" s="51">
        <v>2</v>
      </c>
      <c r="Q82" s="51">
        <v>2</v>
      </c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6">
        <f t="shared" si="31"/>
        <v>0</v>
      </c>
      <c r="AE82" s="56">
        <v>4</v>
      </c>
      <c r="AF82" s="83">
        <f t="shared" si="32"/>
        <v>0</v>
      </c>
      <c r="BE82" s="30"/>
      <c r="BF82" s="30"/>
      <c r="BG82" s="30"/>
      <c r="BH82" s="30"/>
      <c r="BI82" s="30"/>
      <c r="BJ82" s="30"/>
      <c r="BO82" s="31"/>
      <c r="BP82" s="31"/>
      <c r="BQ82" s="31"/>
      <c r="BR82" s="31"/>
      <c r="BS82" s="31"/>
      <c r="BT82" s="31"/>
      <c r="BU82" s="84">
        <f t="shared" si="33"/>
        <v>0</v>
      </c>
    </row>
    <row r="83" spans="1:73" hidden="1" x14ac:dyDescent="0.15">
      <c r="A83" s="19" t="s">
        <v>120</v>
      </c>
      <c r="B83" s="78"/>
      <c r="C83" s="85"/>
      <c r="D83" s="51"/>
      <c r="E83" s="51"/>
      <c r="F83" s="51"/>
      <c r="G83" s="51"/>
      <c r="H83" s="51"/>
      <c r="I83" s="51">
        <v>2</v>
      </c>
      <c r="J83" s="51">
        <v>2</v>
      </c>
      <c r="K83" s="51">
        <v>2</v>
      </c>
      <c r="L83" s="51">
        <v>2</v>
      </c>
      <c r="M83" s="51">
        <v>2</v>
      </c>
      <c r="N83" s="51">
        <v>2</v>
      </c>
      <c r="O83" s="51">
        <v>2</v>
      </c>
      <c r="P83" s="51">
        <v>2</v>
      </c>
      <c r="Q83" s="51">
        <v>2</v>
      </c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6">
        <f t="shared" si="31"/>
        <v>0</v>
      </c>
      <c r="AE83" s="56">
        <v>4</v>
      </c>
      <c r="AF83" s="83">
        <f t="shared" si="32"/>
        <v>0</v>
      </c>
      <c r="BE83" s="30"/>
      <c r="BF83" s="30"/>
      <c r="BG83" s="30"/>
      <c r="BH83" s="30"/>
      <c r="BI83" s="30"/>
      <c r="BJ83" s="30"/>
      <c r="BO83" s="31"/>
      <c r="BP83" s="31"/>
      <c r="BQ83" s="31"/>
      <c r="BR83" s="31"/>
      <c r="BS83" s="31"/>
      <c r="BT83" s="31"/>
      <c r="BU83" s="84">
        <f t="shared" si="33"/>
        <v>0</v>
      </c>
    </row>
    <row r="84" spans="1:73" hidden="1" x14ac:dyDescent="0.15">
      <c r="A84" s="19" t="s">
        <v>123</v>
      </c>
      <c r="B84" s="78"/>
      <c r="C84" s="85"/>
      <c r="D84" s="51"/>
      <c r="E84" s="51"/>
      <c r="F84" s="51"/>
      <c r="G84" s="51"/>
      <c r="H84" s="51"/>
      <c r="I84" s="85">
        <v>2</v>
      </c>
      <c r="J84" s="51">
        <v>2</v>
      </c>
      <c r="K84" s="51">
        <v>2</v>
      </c>
      <c r="L84" s="51">
        <v>2</v>
      </c>
      <c r="M84" s="51">
        <v>1</v>
      </c>
      <c r="N84" s="51">
        <v>2</v>
      </c>
      <c r="O84" s="51">
        <v>2</v>
      </c>
      <c r="P84" s="51">
        <v>2</v>
      </c>
      <c r="Q84" s="51">
        <v>2</v>
      </c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6">
        <f t="shared" si="31"/>
        <v>0</v>
      </c>
      <c r="AE84" s="56">
        <v>4</v>
      </c>
      <c r="AF84" s="83">
        <f t="shared" si="32"/>
        <v>0</v>
      </c>
      <c r="BE84" s="30"/>
      <c r="BF84" s="30"/>
      <c r="BG84" s="30"/>
      <c r="BH84" s="30"/>
      <c r="BI84" s="30"/>
      <c r="BJ84" s="30"/>
      <c r="BO84" s="31"/>
      <c r="BP84" s="31"/>
      <c r="BQ84" s="31"/>
      <c r="BR84" s="31"/>
      <c r="BS84" s="31"/>
      <c r="BT84" s="31"/>
      <c r="BU84" s="84">
        <f t="shared" si="33"/>
        <v>0.2</v>
      </c>
    </row>
    <row r="85" spans="1:73" hidden="1" x14ac:dyDescent="0.15">
      <c r="A85" s="30" t="s">
        <v>131</v>
      </c>
    </row>
  </sheetData>
  <mergeCells count="185">
    <mergeCell ref="Z60:Z61"/>
    <mergeCell ref="AA60:AA61"/>
    <mergeCell ref="AB60:AB61"/>
    <mergeCell ref="AC60:AC61"/>
    <mergeCell ref="BU60:BU61"/>
    <mergeCell ref="T60:T61"/>
    <mergeCell ref="U60:U61"/>
    <mergeCell ref="V60:V61"/>
    <mergeCell ref="W60:W61"/>
    <mergeCell ref="X60:X61"/>
    <mergeCell ref="Y60:Y61"/>
    <mergeCell ref="N60:N61"/>
    <mergeCell ref="O60:O61"/>
    <mergeCell ref="P60:P61"/>
    <mergeCell ref="Q60:Q61"/>
    <mergeCell ref="R60:R61"/>
    <mergeCell ref="S60:S61"/>
    <mergeCell ref="H60:H61"/>
    <mergeCell ref="I60:I61"/>
    <mergeCell ref="J60:J61"/>
    <mergeCell ref="K60:K61"/>
    <mergeCell ref="L60:L61"/>
    <mergeCell ref="M60:M61"/>
    <mergeCell ref="BO54:BQ54"/>
    <mergeCell ref="BO55:BQ55"/>
    <mergeCell ref="BO56:BQ56"/>
    <mergeCell ref="BO57:BQ57"/>
    <mergeCell ref="A60:B61"/>
    <mergeCell ref="C60:C61"/>
    <mergeCell ref="D60:D61"/>
    <mergeCell ref="E60:E61"/>
    <mergeCell ref="F60:F61"/>
    <mergeCell ref="G60:G61"/>
    <mergeCell ref="BO48:BQ48"/>
    <mergeCell ref="BO49:BQ49"/>
    <mergeCell ref="BO50:BQ50"/>
    <mergeCell ref="BO51:BQ51"/>
    <mergeCell ref="BO52:BQ52"/>
    <mergeCell ref="BO53:BQ53"/>
    <mergeCell ref="BO42:BQ42"/>
    <mergeCell ref="BO43:BQ43"/>
    <mergeCell ref="BO44:BQ44"/>
    <mergeCell ref="BO45:BQ45"/>
    <mergeCell ref="BO46:BQ46"/>
    <mergeCell ref="BO47:BQ47"/>
    <mergeCell ref="BO36:BQ36"/>
    <mergeCell ref="BO37:BQ37"/>
    <mergeCell ref="BO38:BQ38"/>
    <mergeCell ref="BO39:BQ39"/>
    <mergeCell ref="BO40:BQ40"/>
    <mergeCell ref="BO41:BQ41"/>
    <mergeCell ref="BJ33:BJ34"/>
    <mergeCell ref="BK33:BK34"/>
    <mergeCell ref="BL33:BL34"/>
    <mergeCell ref="BM33:BM34"/>
    <mergeCell ref="BO33:BQ34"/>
    <mergeCell ref="BO35:BQ35"/>
    <mergeCell ref="BD33:BD34"/>
    <mergeCell ref="BE33:BE34"/>
    <mergeCell ref="BF33:BF34"/>
    <mergeCell ref="BG33:BG34"/>
    <mergeCell ref="BH33:BH34"/>
    <mergeCell ref="BI33:BI34"/>
    <mergeCell ref="AX33:AX34"/>
    <mergeCell ref="AY33:AY34"/>
    <mergeCell ref="AZ33:AZ34"/>
    <mergeCell ref="BA33:BA34"/>
    <mergeCell ref="BB33:BB34"/>
    <mergeCell ref="BC33:BC34"/>
    <mergeCell ref="AR33:AR34"/>
    <mergeCell ref="AS33:AS34"/>
    <mergeCell ref="AT33:AT34"/>
    <mergeCell ref="AU33:AU34"/>
    <mergeCell ref="AV33:AV34"/>
    <mergeCell ref="AW33:AW34"/>
    <mergeCell ref="AL33:AL34"/>
    <mergeCell ref="AM33:AM34"/>
    <mergeCell ref="AN33:AN34"/>
    <mergeCell ref="AO33:AO34"/>
    <mergeCell ref="AP33:AP34"/>
    <mergeCell ref="AQ33:AQ34"/>
    <mergeCell ref="AF33:AF34"/>
    <mergeCell ref="AG33:AG34"/>
    <mergeCell ref="AH33:AH34"/>
    <mergeCell ref="AI33:AI34"/>
    <mergeCell ref="AJ33:AJ34"/>
    <mergeCell ref="AK33:AK34"/>
    <mergeCell ref="Z33:Z34"/>
    <mergeCell ref="AA33:AA34"/>
    <mergeCell ref="AB33:AB34"/>
    <mergeCell ref="AC33:AC34"/>
    <mergeCell ref="AD33:AD34"/>
    <mergeCell ref="AE33:AE34"/>
    <mergeCell ref="T33:T34"/>
    <mergeCell ref="U33:U34"/>
    <mergeCell ref="V33:V34"/>
    <mergeCell ref="W33:W34"/>
    <mergeCell ref="X33:X34"/>
    <mergeCell ref="Y33:Y34"/>
    <mergeCell ref="N33:N34"/>
    <mergeCell ref="O33:O34"/>
    <mergeCell ref="P33:P34"/>
    <mergeCell ref="Q33:Q34"/>
    <mergeCell ref="R33:R34"/>
    <mergeCell ref="S33:S34"/>
    <mergeCell ref="H33:H34"/>
    <mergeCell ref="I33:I34"/>
    <mergeCell ref="J33:J34"/>
    <mergeCell ref="K33:K34"/>
    <mergeCell ref="L33:L34"/>
    <mergeCell ref="M33:M34"/>
    <mergeCell ref="BL6:BL7"/>
    <mergeCell ref="BM6:BM7"/>
    <mergeCell ref="BO6:BQ6"/>
    <mergeCell ref="C32:M32"/>
    <mergeCell ref="A33:B34"/>
    <mergeCell ref="C33:C34"/>
    <mergeCell ref="D33:D34"/>
    <mergeCell ref="E33:E34"/>
    <mergeCell ref="F33:F34"/>
    <mergeCell ref="G33:G34"/>
    <mergeCell ref="BF6:BF7"/>
    <mergeCell ref="BG6:BG7"/>
    <mergeCell ref="BH6:BH7"/>
    <mergeCell ref="BI6:BI7"/>
    <mergeCell ref="BJ6:BJ7"/>
    <mergeCell ref="BK6:BK7"/>
    <mergeCell ref="AZ6:AZ7"/>
    <mergeCell ref="BA6:BA7"/>
    <mergeCell ref="BB6:BB7"/>
    <mergeCell ref="BC6:BC7"/>
    <mergeCell ref="BD6:BD7"/>
    <mergeCell ref="BE6:BE7"/>
    <mergeCell ref="AT6:AT7"/>
    <mergeCell ref="AU6:AU7"/>
    <mergeCell ref="AV6:AV7"/>
    <mergeCell ref="AW6:AW7"/>
    <mergeCell ref="AX6:AX7"/>
    <mergeCell ref="AY6:AY7"/>
    <mergeCell ref="AN6:AN7"/>
    <mergeCell ref="AO6:AO7"/>
    <mergeCell ref="AP6:AP7"/>
    <mergeCell ref="AQ6:AQ7"/>
    <mergeCell ref="AR6:AR7"/>
    <mergeCell ref="AS6:AS7"/>
    <mergeCell ref="AH6:AH7"/>
    <mergeCell ref="AI6:AI7"/>
    <mergeCell ref="AJ6:AJ7"/>
    <mergeCell ref="AK6:AK7"/>
    <mergeCell ref="AL6:AL7"/>
    <mergeCell ref="AM6:AM7"/>
    <mergeCell ref="AB6:AB7"/>
    <mergeCell ref="AC6:AC7"/>
    <mergeCell ref="AD6:AD7"/>
    <mergeCell ref="AE6:AE7"/>
    <mergeCell ref="AF6:AF7"/>
    <mergeCell ref="AG6:AG7"/>
    <mergeCell ref="V6:V7"/>
    <mergeCell ref="W6:W7"/>
    <mergeCell ref="X6:X7"/>
    <mergeCell ref="Y6:Y7"/>
    <mergeCell ref="Z6:Z7"/>
    <mergeCell ref="AA6:AA7"/>
    <mergeCell ref="P6:P7"/>
    <mergeCell ref="Q6:Q7"/>
    <mergeCell ref="R6:R7"/>
    <mergeCell ref="S6:S7"/>
    <mergeCell ref="T6:T7"/>
    <mergeCell ref="U6:U7"/>
    <mergeCell ref="J6:J7"/>
    <mergeCell ref="K6:K7"/>
    <mergeCell ref="L6:L7"/>
    <mergeCell ref="M6:M7"/>
    <mergeCell ref="N6:N7"/>
    <mergeCell ref="O6:O7"/>
    <mergeCell ref="C5:M5"/>
    <mergeCell ref="N5:BM5"/>
    <mergeCell ref="A6:B7"/>
    <mergeCell ref="C6:C7"/>
    <mergeCell ref="D6:D7"/>
    <mergeCell ref="E6:E7"/>
    <mergeCell ref="F6:F7"/>
    <mergeCell ref="G6:G7"/>
    <mergeCell ref="H6:H7"/>
    <mergeCell ref="I6:I7"/>
  </mergeCells>
  <conditionalFormatting sqref="D35:M57">
    <cfRule type="cellIs" dxfId="0" priority="2" operator="greaterThan">
      <formula>770</formula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3E0B5B6-687B-ED4A-8334-DF70E4439304}">
            <x14:iconSet iconSet="3Symbol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0"/>
              <x14:cfIcon iconSet="3Symbols" iconId="2"/>
              <x14:cfIcon iconSet="3Symbols" iconId="0"/>
            </x14:iconSet>
          </x14:cfRule>
          <xm:sqref>I62:I84</xm:sqref>
        </x14:conditionalFormatting>
        <x14:conditionalFormatting xmlns:xm="http://schemas.microsoft.com/office/excel/2006/main">
          <x14:cfRule type="iconSet" priority="3" id="{2B8AF9B0-CCE7-D544-A51B-1183EF78F068}">
            <x14:iconSet iconSet="3Symbol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0"/>
              <x14:cfIcon iconSet="3Symbols" iconId="2"/>
              <x14:cfIcon iconSet="3Symbols" iconId="0"/>
            </x14:iconSet>
          </x14:cfRule>
          <xm:sqref>J62:AC84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MP control</vt:lpstr>
      <vt:lpstr>Captura check 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Hurtado</dc:creator>
  <cp:lastModifiedBy>Edgar Hurtado</cp:lastModifiedBy>
  <dcterms:created xsi:type="dcterms:W3CDTF">2026-04-25T18:43:53Z</dcterms:created>
  <dcterms:modified xsi:type="dcterms:W3CDTF">2026-04-25T18:49:45Z</dcterms:modified>
</cp:coreProperties>
</file>